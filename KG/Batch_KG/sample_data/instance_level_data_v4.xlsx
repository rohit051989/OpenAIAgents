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ris\practice\GenAI\code\Batch_KG\sample_data\"/>
    </mc:Choice>
  </mc:AlternateContent>
  <xr:revisionPtr revIDLastSave="0" documentId="13_ncr:1_{D7896BAF-516F-4249-8B06-C8B9DDF3866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JobGroupExecutionsOLD" sheetId="8" r:id="rId1"/>
    <sheet name="JobContextExecutions" sheetId="2" r:id="rId2"/>
    <sheet name="Mapping" sheetId="7" r:id="rId3"/>
    <sheet name="ResourceAvailabilityEven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2" l="1"/>
  <c r="C2" i="2"/>
  <c r="D19" i="5" l="1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E47" i="2"/>
  <c r="E56" i="2"/>
  <c r="E65" i="2"/>
  <c r="E38" i="2"/>
  <c r="E29" i="2"/>
  <c r="E20" i="2"/>
  <c r="E14" i="2"/>
  <c r="E8" i="2"/>
  <c r="E2" i="2"/>
  <c r="C61" i="2" l="1"/>
  <c r="C62" i="2"/>
  <c r="C63" i="2"/>
  <c r="C64" i="2"/>
  <c r="C65" i="2"/>
  <c r="C66" i="2"/>
  <c r="C67" i="2"/>
  <c r="C68" i="2"/>
  <c r="C69" i="2"/>
  <c r="C70" i="2"/>
  <c r="C71" i="2"/>
  <c r="C72" i="2"/>
  <c r="C73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36" i="2"/>
  <c r="C37" i="2"/>
  <c r="C38" i="2"/>
  <c r="C39" i="2"/>
  <c r="C40" i="2"/>
  <c r="C41" i="2"/>
  <c r="C42" i="2"/>
  <c r="C43" i="2"/>
  <c r="C44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3" i="2"/>
  <c r="C4" i="2"/>
  <c r="C5" i="2"/>
  <c r="C6" i="2"/>
  <c r="C7" i="2"/>
  <c r="E17" i="5"/>
  <c r="E19" i="5"/>
  <c r="E18" i="5"/>
  <c r="E13" i="5"/>
  <c r="E12" i="5"/>
  <c r="E11" i="5"/>
  <c r="E16" i="5"/>
  <c r="E15" i="5"/>
  <c r="E14" i="5"/>
  <c r="E10" i="5"/>
  <c r="E9" i="5"/>
  <c r="E8" i="5"/>
  <c r="E6" i="5"/>
  <c r="E7" i="5"/>
  <c r="E5" i="5"/>
  <c r="F47" i="2" s="1"/>
  <c r="E3" i="5"/>
  <c r="E4" i="5"/>
  <c r="E2" i="5"/>
  <c r="F2" i="2" s="1"/>
  <c r="G47" i="2" l="1"/>
  <c r="H47" i="2" s="1"/>
  <c r="G2" i="2"/>
  <c r="H2" i="2" s="1"/>
  <c r="F49" i="2" l="1"/>
  <c r="G49" i="2" s="1"/>
  <c r="H49" i="2" s="1"/>
  <c r="F48" i="2"/>
  <c r="G48" i="2" s="1"/>
  <c r="H48" i="2" s="1"/>
  <c r="F4" i="2"/>
  <c r="F3" i="2"/>
  <c r="E3" i="2" s="1"/>
  <c r="F8" i="2" s="1"/>
  <c r="G8" i="2" s="1"/>
  <c r="F10" i="2" s="1"/>
  <c r="G10" i="2" s="1"/>
  <c r="H10" i="2" s="1"/>
  <c r="E10" i="2" l="1"/>
  <c r="F65" i="2" s="1"/>
  <c r="G65" i="2" s="1"/>
  <c r="H8" i="2"/>
  <c r="F12" i="2"/>
  <c r="G12" i="2" s="1"/>
  <c r="H12" i="2" s="1"/>
  <c r="F9" i="2"/>
  <c r="G9" i="2" s="1"/>
  <c r="F11" i="2" s="1"/>
  <c r="E11" i="2" s="1"/>
  <c r="E49" i="2"/>
  <c r="E48" i="2"/>
  <c r="G3" i="2"/>
  <c r="H3" i="2" s="1"/>
  <c r="G4" i="2"/>
  <c r="H4" i="2" s="1"/>
  <c r="E4" i="2"/>
  <c r="F14" i="2" s="1"/>
  <c r="G14" i="2" s="1"/>
  <c r="E50" i="2"/>
  <c r="F50" i="2"/>
  <c r="H65" i="2" l="1"/>
  <c r="F67" i="2"/>
  <c r="F66" i="2"/>
  <c r="F15" i="2"/>
  <c r="H14" i="2"/>
  <c r="F16" i="2"/>
  <c r="E12" i="2"/>
  <c r="E9" i="2"/>
  <c r="F56" i="2" s="1"/>
  <c r="G56" i="2" s="1"/>
  <c r="H9" i="2"/>
  <c r="G11" i="2"/>
  <c r="F13" i="2" s="1"/>
  <c r="E13" i="2" s="1"/>
  <c r="F5" i="2"/>
  <c r="E5" i="2" s="1"/>
  <c r="F20" i="2" s="1"/>
  <c r="G20" i="2" s="1"/>
  <c r="F6" i="2"/>
  <c r="G50" i="2"/>
  <c r="H50" i="2" s="1"/>
  <c r="E66" i="2" l="1"/>
  <c r="G66" i="2"/>
  <c r="E67" i="2"/>
  <c r="G67" i="2"/>
  <c r="H67" i="2" s="1"/>
  <c r="H56" i="2"/>
  <c r="F58" i="2"/>
  <c r="F57" i="2"/>
  <c r="H20" i="2"/>
  <c r="F21" i="2"/>
  <c r="F22" i="2"/>
  <c r="G16" i="2"/>
  <c r="E16" i="2"/>
  <c r="G15" i="2"/>
  <c r="E15" i="2"/>
  <c r="H11" i="2"/>
  <c r="G13" i="2"/>
  <c r="H13" i="2" s="1"/>
  <c r="G5" i="2"/>
  <c r="H5" i="2" s="1"/>
  <c r="E6" i="2"/>
  <c r="F29" i="2" s="1"/>
  <c r="G29" i="2" s="1"/>
  <c r="G6" i="2"/>
  <c r="H6" i="2" s="1"/>
  <c r="F51" i="2"/>
  <c r="G51" i="2" s="1"/>
  <c r="H66" i="2" l="1"/>
  <c r="E68" i="2"/>
  <c r="F68" i="2"/>
  <c r="G68" i="2" s="1"/>
  <c r="G57" i="2"/>
  <c r="E57" i="2"/>
  <c r="G58" i="2"/>
  <c r="H58" i="2" s="1"/>
  <c r="E58" i="2"/>
  <c r="H29" i="2"/>
  <c r="F31" i="2"/>
  <c r="F30" i="2"/>
  <c r="E21" i="2"/>
  <c r="G21" i="2"/>
  <c r="G22" i="2"/>
  <c r="E22" i="2"/>
  <c r="H15" i="2"/>
  <c r="F17" i="2"/>
  <c r="H16" i="2"/>
  <c r="F18" i="2"/>
  <c r="F52" i="2"/>
  <c r="G52" i="2" s="1"/>
  <c r="H52" i="2" s="1"/>
  <c r="H51" i="2"/>
  <c r="F7" i="2"/>
  <c r="E51" i="2"/>
  <c r="F69" i="2" l="1"/>
  <c r="H68" i="2"/>
  <c r="H57" i="2"/>
  <c r="E59" i="2"/>
  <c r="F59" i="2"/>
  <c r="G59" i="2" s="1"/>
  <c r="E30" i="2"/>
  <c r="G30" i="2"/>
  <c r="G31" i="2"/>
  <c r="E31" i="2"/>
  <c r="H22" i="2"/>
  <c r="F24" i="2"/>
  <c r="H21" i="2"/>
  <c r="F23" i="2"/>
  <c r="E18" i="2"/>
  <c r="G18" i="2"/>
  <c r="H18" i="2" s="1"/>
  <c r="G17" i="2"/>
  <c r="E17" i="2"/>
  <c r="E52" i="2"/>
  <c r="E7" i="2"/>
  <c r="F38" i="2" s="1"/>
  <c r="G38" i="2" s="1"/>
  <c r="G7" i="2"/>
  <c r="H7" i="2" s="1"/>
  <c r="F53" i="2"/>
  <c r="G69" i="2" l="1"/>
  <c r="E69" i="2"/>
  <c r="H59" i="2"/>
  <c r="F60" i="2"/>
  <c r="H38" i="2"/>
  <c r="F39" i="2"/>
  <c r="F40" i="2"/>
  <c r="H31" i="2"/>
  <c r="F33" i="2"/>
  <c r="H30" i="2"/>
  <c r="F32" i="2"/>
  <c r="E23" i="2"/>
  <c r="G23" i="2"/>
  <c r="G24" i="2"/>
  <c r="E24" i="2"/>
  <c r="H17" i="2"/>
  <c r="F19" i="2"/>
  <c r="E53" i="2"/>
  <c r="G53" i="2"/>
  <c r="H53" i="2" s="1"/>
  <c r="H69" i="2" l="1"/>
  <c r="F70" i="2"/>
  <c r="G60" i="2"/>
  <c r="E60" i="2"/>
  <c r="E40" i="2"/>
  <c r="G40" i="2"/>
  <c r="E39" i="2"/>
  <c r="G39" i="2"/>
  <c r="E32" i="2"/>
  <c r="G32" i="2"/>
  <c r="E33" i="2"/>
  <c r="G33" i="2"/>
  <c r="F26" i="2"/>
  <c r="H24" i="2"/>
  <c r="F25" i="2"/>
  <c r="H23" i="2"/>
  <c r="G19" i="2"/>
  <c r="H19" i="2" s="1"/>
  <c r="E19" i="2"/>
  <c r="F54" i="2"/>
  <c r="G70" i="2" l="1"/>
  <c r="E70" i="2"/>
  <c r="H60" i="2"/>
  <c r="F61" i="2"/>
  <c r="F41" i="2"/>
  <c r="H39" i="2"/>
  <c r="H40" i="2"/>
  <c r="F42" i="2"/>
  <c r="F35" i="2"/>
  <c r="H33" i="2"/>
  <c r="F34" i="2"/>
  <c r="H32" i="2"/>
  <c r="E25" i="2"/>
  <c r="G25" i="2"/>
  <c r="G26" i="2"/>
  <c r="E26" i="2"/>
  <c r="G54" i="2"/>
  <c r="H54" i="2" s="1"/>
  <c r="E54" i="2"/>
  <c r="H70" i="2" l="1"/>
  <c r="F71" i="2"/>
  <c r="G61" i="2"/>
  <c r="E61" i="2"/>
  <c r="E42" i="2"/>
  <c r="G42" i="2"/>
  <c r="G41" i="2"/>
  <c r="E41" i="2"/>
  <c r="G34" i="2"/>
  <c r="E34" i="2"/>
  <c r="G35" i="2"/>
  <c r="E35" i="2"/>
  <c r="H26" i="2"/>
  <c r="F27" i="2"/>
  <c r="H25" i="2"/>
  <c r="F55" i="2"/>
  <c r="E71" i="2" l="1"/>
  <c r="G71" i="2"/>
  <c r="H61" i="2"/>
  <c r="F62" i="2"/>
  <c r="F43" i="2"/>
  <c r="H41" i="2"/>
  <c r="H42" i="2"/>
  <c r="F44" i="2"/>
  <c r="H35" i="2"/>
  <c r="F36" i="2"/>
  <c r="H34" i="2"/>
  <c r="G27" i="2"/>
  <c r="E27" i="2"/>
  <c r="G55" i="2"/>
  <c r="H55" i="2" s="1"/>
  <c r="E55" i="2"/>
  <c r="F72" i="2" l="1"/>
  <c r="H71" i="2"/>
  <c r="E62" i="2"/>
  <c r="G62" i="2"/>
  <c r="G44" i="2"/>
  <c r="E44" i="2"/>
  <c r="G43" i="2"/>
  <c r="E43" i="2"/>
  <c r="G36" i="2"/>
  <c r="E36" i="2"/>
  <c r="H27" i="2"/>
  <c r="F28" i="2"/>
  <c r="G72" i="2" l="1"/>
  <c r="E72" i="2"/>
  <c r="H62" i="2"/>
  <c r="F63" i="2"/>
  <c r="H43" i="2"/>
  <c r="H44" i="2"/>
  <c r="F45" i="2"/>
  <c r="H36" i="2"/>
  <c r="F37" i="2"/>
  <c r="G28" i="2"/>
  <c r="H28" i="2" s="1"/>
  <c r="E28" i="2"/>
  <c r="F73" i="2" l="1"/>
  <c r="H72" i="2"/>
  <c r="E63" i="2"/>
  <c r="G63" i="2"/>
  <c r="G45" i="2"/>
  <c r="E45" i="2"/>
  <c r="G37" i="2"/>
  <c r="H37" i="2" s="1"/>
  <c r="E37" i="2"/>
  <c r="G73" i="2" l="1"/>
  <c r="H73" i="2" s="1"/>
  <c r="E73" i="2"/>
  <c r="H63" i="2"/>
  <c r="F64" i="2"/>
  <c r="H45" i="2"/>
  <c r="F46" i="2"/>
  <c r="G64" i="2" l="1"/>
  <c r="H64" i="2" s="1"/>
  <c r="E64" i="2"/>
  <c r="G46" i="2"/>
  <c r="H46" i="2" s="1"/>
  <c r="E46" i="2"/>
</calcChain>
</file>

<file path=xl/sharedStrings.xml><?xml version="1.0" encoding="utf-8"?>
<sst xmlns="http://schemas.openxmlformats.org/spreadsheetml/2006/main" count="587" uniqueCount="162">
  <si>
    <t>businessDate</t>
  </si>
  <si>
    <t>startTime</t>
  </si>
  <si>
    <t>endTime</t>
  </si>
  <si>
    <t>status</t>
  </si>
  <si>
    <t>COMPLETED</t>
  </si>
  <si>
    <t>exitCode</t>
  </si>
  <si>
    <t>exitMessage</t>
  </si>
  <si>
    <t>0</t>
  </si>
  <si>
    <t>Success</t>
  </si>
  <si>
    <t>resourceId</t>
  </si>
  <si>
    <t>RSD_file2_20250101</t>
  </si>
  <si>
    <t>jobContextId</t>
  </si>
  <si>
    <t>ctx_0028</t>
  </si>
  <si>
    <t>jbex_0001</t>
  </si>
  <si>
    <t>jbex_0002</t>
  </si>
  <si>
    <t>jbex_0003</t>
  </si>
  <si>
    <t>jbex_0004</t>
  </si>
  <si>
    <t>jbex_0005</t>
  </si>
  <si>
    <t>jbex_0006</t>
  </si>
  <si>
    <t>2026-01-01</t>
  </si>
  <si>
    <t>2026-01-02</t>
  </si>
  <si>
    <t>2026-01-03</t>
  </si>
  <si>
    <t>ctx_0022</t>
  </si>
  <si>
    <t>ctx_0023</t>
  </si>
  <si>
    <t>ctx_0024</t>
  </si>
  <si>
    <t>ctx_0025</t>
  </si>
  <si>
    <t>ctx_0026</t>
  </si>
  <si>
    <t>jbex_0007</t>
  </si>
  <si>
    <t>jbex_0008</t>
  </si>
  <si>
    <t>jbex_0009</t>
  </si>
  <si>
    <t>jbex_0010</t>
  </si>
  <si>
    <t>jbex_0011</t>
  </si>
  <si>
    <t>jbex_0012</t>
  </si>
  <si>
    <t>jbex_0013</t>
  </si>
  <si>
    <t>jbex_0014</t>
  </si>
  <si>
    <t>jbex_0015</t>
  </si>
  <si>
    <t>jbex_0016</t>
  </si>
  <si>
    <t>jbex_0017</t>
  </si>
  <si>
    <t>jbex_0018</t>
  </si>
  <si>
    <t>jbex_0019</t>
  </si>
  <si>
    <t>jbex_0020</t>
  </si>
  <si>
    <t>jbex_0021</t>
  </si>
  <si>
    <t>ctx_0019</t>
  </si>
  <si>
    <t>ctx_0013</t>
  </si>
  <si>
    <t>ctx_0014</t>
  </si>
  <si>
    <t>ctx_0015</t>
  </si>
  <si>
    <t>ctx_0016</t>
  </si>
  <si>
    <t>ctx_0018</t>
  </si>
  <si>
    <t>ctx_0017</t>
  </si>
  <si>
    <t>ctx_0012</t>
  </si>
  <si>
    <t>ctx_0020</t>
  </si>
  <si>
    <t>jbex_0022</t>
  </si>
  <si>
    <t>jbex_0023</t>
  </si>
  <si>
    <t>jbex_0024</t>
  </si>
  <si>
    <t>jbex_0025</t>
  </si>
  <si>
    <t>jbex_0026</t>
  </si>
  <si>
    <t>jbex_0027</t>
  </si>
  <si>
    <t>jbex_0028</t>
  </si>
  <si>
    <t>jbex_0029</t>
  </si>
  <si>
    <t>jbex_0030</t>
  </si>
  <si>
    <t>jbex_0031</t>
  </si>
  <si>
    <t>jbex_0032</t>
  </si>
  <si>
    <t>jbex_0033</t>
  </si>
  <si>
    <t>jbex_0034</t>
  </si>
  <si>
    <t>jbex_0035</t>
  </si>
  <si>
    <t>jbex_0036</t>
  </si>
  <si>
    <t>jbex_0037</t>
  </si>
  <si>
    <t>jbex_0038</t>
  </si>
  <si>
    <t>jbex_0039</t>
  </si>
  <si>
    <t>jbex_0040</t>
  </si>
  <si>
    <t>jbex_0041</t>
  </si>
  <si>
    <t>jbex_0042</t>
  </si>
  <si>
    <t>jbex_0043</t>
  </si>
  <si>
    <t>jbex_0044</t>
  </si>
  <si>
    <t>jbex_0045</t>
  </si>
  <si>
    <t>ctx_0010</t>
  </si>
  <si>
    <t>ctx_0003</t>
  </si>
  <si>
    <t>ctx_0004</t>
  </si>
  <si>
    <t>ctx_0005</t>
  </si>
  <si>
    <t>ctx_0006</t>
  </si>
  <si>
    <t>ctx_0007</t>
  </si>
  <si>
    <t>ctx_0008</t>
  </si>
  <si>
    <t>ctx_0011</t>
  </si>
  <si>
    <t>ctx_0002</t>
  </si>
  <si>
    <t>jbex_0046</t>
  </si>
  <si>
    <t>jbex_0047</t>
  </si>
  <si>
    <t>jbex_0048</t>
  </si>
  <si>
    <t>jbex_0049</t>
  </si>
  <si>
    <t>jbex_0050</t>
  </si>
  <si>
    <t>jbex_0051</t>
  </si>
  <si>
    <t>jbex_0052</t>
  </si>
  <si>
    <t>jbex_0053</t>
  </si>
  <si>
    <t>jbex_0054</t>
  </si>
  <si>
    <t>jbex_0055</t>
  </si>
  <si>
    <t>jbex_0056</t>
  </si>
  <si>
    <t>jbex_0057</t>
  </si>
  <si>
    <t>jbex_0058</t>
  </si>
  <si>
    <t>jbex_0059</t>
  </si>
  <si>
    <t>jbex_0060</t>
  </si>
  <si>
    <t>jbex_0061</t>
  </si>
  <si>
    <t>jbex_0062</t>
  </si>
  <si>
    <t>jbex_0063</t>
  </si>
  <si>
    <t>jbex_0064</t>
  </si>
  <si>
    <t>jbex_0065</t>
  </si>
  <si>
    <t>jbex_0066</t>
  </si>
  <si>
    <t>jbex_0067</t>
  </si>
  <si>
    <t>jbex_0068</t>
  </si>
  <si>
    <t>jbex_0069</t>
  </si>
  <si>
    <t>jbex_0070</t>
  </si>
  <si>
    <t>jbex_0071</t>
  </si>
  <si>
    <t>jbex_0072</t>
  </si>
  <si>
    <t>id</t>
  </si>
  <si>
    <t>jobGroupId</t>
  </si>
  <si>
    <t>JG_TEST</t>
  </si>
  <si>
    <t>JG_MID</t>
  </si>
  <si>
    <t>JG_EOD</t>
  </si>
  <si>
    <t>RES_002</t>
  </si>
  <si>
    <t>availabilityTime</t>
  </si>
  <si>
    <t>RSD_file1_20260101</t>
  </si>
  <si>
    <t>RSD_file2_20250102</t>
  </si>
  <si>
    <t>RSD_file2_20250103</t>
  </si>
  <si>
    <t>RSD_file1_20250102</t>
  </si>
  <si>
    <t>RSD_file1_20250103</t>
  </si>
  <si>
    <t>RES_004</t>
  </si>
  <si>
    <t>RSD_file3_20260101</t>
  </si>
  <si>
    <t>RSD_file3_20260102</t>
  </si>
  <si>
    <t>RSD_file3_20260103</t>
  </si>
  <si>
    <t>RES_006</t>
  </si>
  <si>
    <t>RSD_file4_20260101</t>
  </si>
  <si>
    <t>RSD_file4_20260102</t>
  </si>
  <si>
    <t>RSD_file4_20260103</t>
  </si>
  <si>
    <t>RES_001</t>
  </si>
  <si>
    <t>RSD_file5_20260101</t>
  </si>
  <si>
    <t>RSD_file5_20260102</t>
  </si>
  <si>
    <t>RSD_file5_20260103</t>
  </si>
  <si>
    <t>RSD_file6_20260101</t>
  </si>
  <si>
    <t>RSD_file6_20260102</t>
  </si>
  <si>
    <t>RSD_file6_20260103</t>
  </si>
  <si>
    <t>RES_003</t>
  </si>
  <si>
    <t>RES_005</t>
  </si>
  <si>
    <t>expectedStartTime</t>
  </si>
  <si>
    <t>availabilityDateTime</t>
  </si>
  <si>
    <t>duration</t>
  </si>
  <si>
    <t>LS2H-DAILY-PREP</t>
  </si>
  <si>
    <t>AR-ML-LS2-TRIGGER</t>
  </si>
  <si>
    <t>CODE-DESC</t>
  </si>
  <si>
    <t>ONLINE-TO-HIST-SYNC-EXCEPTIONS</t>
  </si>
  <si>
    <t>LOANIQ-PAST-DUE-DATA</t>
  </si>
  <si>
    <t>APMS-LL-AWS-S3-UPLOAD</t>
  </si>
  <si>
    <t>NEW-BB-FUNDING-RATES-DOWNLOAD</t>
  </si>
  <si>
    <t>NEW-LOANIQ-COLLATERAL-MIG</t>
  </si>
  <si>
    <t>ctx_0029</t>
  </si>
  <si>
    <t>customerProcessingJob</t>
  </si>
  <si>
    <t>ctx_0030</t>
  </si>
  <si>
    <t>customerExportJob</t>
  </si>
  <si>
    <t>ctx_0031</t>
  </si>
  <si>
    <t>orderProcessingJob</t>
  </si>
  <si>
    <t>ctx_0032</t>
  </si>
  <si>
    <t>reportGenerationJob</t>
  </si>
  <si>
    <t>JobName</t>
  </si>
  <si>
    <t>jbex_0073</t>
  </si>
  <si>
    <t>CCAR_FS_TRIGGER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</si>
</sst>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[$-F800]dddd\,\ mmmm\ dd\,\ yyyy"/>
    <numFmt numFmtId="166" formatCode="yyyy\-mm\-dd\ h:mm:ss\ AM/PM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rgb="FF333333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top" wrapText="1"/>
    </xf>
    <xf numFmtId="4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5" fontId="1" fillId="0" borderId="1" xfId="0" applyNumberFormat="1" applyFont="1" applyBorder="1" applyAlignment="1">
      <alignment horizontal="center" vertical="top" wrapText="1"/>
    </xf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wrapText="1"/>
    </xf>
    <xf numFmtId="166" fontId="4" fillId="0" borderId="1" xfId="0" applyNumberFormat="1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 wrapText="1"/>
    </xf>
    <xf numFmtId="2" fontId="0" fillId="0" borderId="0" xfId="0" applyNumberFormat="1" applyAlignment="1">
      <alignment wrapText="1"/>
    </xf>
    <xf numFmtId="2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31E7-8BAF-4A0B-B823-88CDA6F449E7}">
  <dimension ref="A1:D10"/>
  <sheetViews>
    <sheetView workbookViewId="0">
      <selection activeCell="E1" sqref="E1:E1048576"/>
    </sheetView>
  </sheetViews>
  <sheetFormatPr defaultRowHeight="14.5" x14ac:dyDescent="0.35"/>
  <cols>
    <col min="1" max="1" width="17.453125" customWidth="1"/>
    <col min="2" max="2" width="13.90625" customWidth="1"/>
    <col min="3" max="3" width="10.26953125" bestFit="1" customWidth="1"/>
    <col min="4" max="4" width="46.453125" bestFit="1" customWidth="1"/>
  </cols>
  <sheetData>
    <row r="1" spans="1:4" x14ac:dyDescent="0.35">
      <c r="A1" s="2" t="s">
        <v>112</v>
      </c>
      <c r="B1" s="2" t="s">
        <v>0</v>
      </c>
      <c r="C1" s="2" t="s">
        <v>1</v>
      </c>
      <c r="D1" s="1"/>
    </row>
    <row r="2" spans="1:4" x14ac:dyDescent="0.35">
      <c r="A2" t="s">
        <v>113</v>
      </c>
      <c r="B2" s="6" t="s">
        <v>19</v>
      </c>
      <c r="C2" s="7">
        <v>0.25</v>
      </c>
    </row>
    <row r="3" spans="1:4" x14ac:dyDescent="0.35">
      <c r="A3" t="s">
        <v>113</v>
      </c>
      <c r="B3" s="3" t="s">
        <v>20</v>
      </c>
      <c r="C3" s="7">
        <v>0.25</v>
      </c>
    </row>
    <row r="4" spans="1:4" x14ac:dyDescent="0.35">
      <c r="A4" t="s">
        <v>113</v>
      </c>
      <c r="B4" s="6" t="s">
        <v>21</v>
      </c>
      <c r="C4" s="7">
        <v>0.25</v>
      </c>
    </row>
    <row r="5" spans="1:4" x14ac:dyDescent="0.35">
      <c r="A5" t="s">
        <v>114</v>
      </c>
      <c r="B5" s="6" t="s">
        <v>19</v>
      </c>
      <c r="C5" s="7">
        <v>0.58333333333333337</v>
      </c>
    </row>
    <row r="6" spans="1:4" x14ac:dyDescent="0.35">
      <c r="A6" t="s">
        <v>114</v>
      </c>
      <c r="B6" s="3" t="s">
        <v>20</v>
      </c>
      <c r="C6" s="7">
        <v>0.58333333333333337</v>
      </c>
    </row>
    <row r="7" spans="1:4" x14ac:dyDescent="0.35">
      <c r="A7" t="s">
        <v>114</v>
      </c>
      <c r="B7" s="6" t="s">
        <v>21</v>
      </c>
      <c r="C7" s="7">
        <v>0.58333333333333337</v>
      </c>
    </row>
    <row r="8" spans="1:4" x14ac:dyDescent="0.35">
      <c r="A8" s="3" t="s">
        <v>115</v>
      </c>
      <c r="B8" s="6" t="s">
        <v>19</v>
      </c>
      <c r="C8" s="7">
        <v>0.875</v>
      </c>
    </row>
    <row r="9" spans="1:4" x14ac:dyDescent="0.35">
      <c r="A9" s="3" t="s">
        <v>115</v>
      </c>
      <c r="B9" s="3" t="s">
        <v>20</v>
      </c>
      <c r="C9" s="7">
        <v>0.875</v>
      </c>
    </row>
    <row r="10" spans="1:4" x14ac:dyDescent="0.35">
      <c r="A10" s="3" t="s">
        <v>115</v>
      </c>
      <c r="B10" s="6" t="s">
        <v>21</v>
      </c>
      <c r="C10" s="7">
        <v>0.875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"/>
  <sheetViews>
    <sheetView tabSelected="1" topLeftCell="C64" workbookViewId="0">
      <selection activeCell="L74" sqref="L74"/>
    </sheetView>
  </sheetViews>
  <sheetFormatPr defaultColWidth="9.1796875" defaultRowHeight="14.5" x14ac:dyDescent="0.35"/>
  <cols>
    <col min="1" max="1" width="9.81640625" style="3" bestFit="1" customWidth="1"/>
    <col min="2" max="2" width="13.81640625" style="3" bestFit="1" customWidth="1"/>
    <col min="3" max="3" width="34.7265625" style="3" bestFit="1" customWidth="1"/>
    <col min="4" max="4" width="12.81640625" style="3" bestFit="1" customWidth="1"/>
    <col min="5" max="6" width="21.26953125" style="13" bestFit="1" customWidth="1"/>
    <col min="7" max="7" width="21.08984375" style="13" bestFit="1" customWidth="1"/>
    <col min="8" max="8" width="11.26953125" style="18" bestFit="1" customWidth="1"/>
    <col min="9" max="9" width="11.54296875" style="3" bestFit="1" customWidth="1"/>
    <col min="10" max="10" width="9" style="3" bestFit="1" customWidth="1"/>
    <col min="11" max="11" width="12.26953125" style="3" bestFit="1" customWidth="1"/>
    <col min="12" max="16384" width="9.1796875" style="3"/>
  </cols>
  <sheetData>
    <row r="1" spans="1:11" x14ac:dyDescent="0.35">
      <c r="A1" s="2" t="s">
        <v>111</v>
      </c>
      <c r="B1" s="2" t="s">
        <v>11</v>
      </c>
      <c r="C1" s="5" t="s">
        <v>159</v>
      </c>
      <c r="D1" s="2" t="s">
        <v>0</v>
      </c>
      <c r="E1" s="14" t="s">
        <v>140</v>
      </c>
      <c r="F1" s="14" t="s">
        <v>1</v>
      </c>
      <c r="G1" s="17" t="s">
        <v>2</v>
      </c>
      <c r="H1" s="19" t="s">
        <v>142</v>
      </c>
      <c r="I1" s="2" t="s">
        <v>3</v>
      </c>
      <c r="J1" s="2" t="s">
        <v>5</v>
      </c>
      <c r="K1" s="2" t="s">
        <v>6</v>
      </c>
    </row>
    <row r="2" spans="1:11" x14ac:dyDescent="0.35">
      <c r="A2" s="3" t="s">
        <v>13</v>
      </c>
      <c r="B2" s="4" t="s">
        <v>12</v>
      </c>
      <c r="C2" s="4" t="str">
        <f>_xlfn.XLOOKUP(B2, Mapping!A:A, Mapping!B:B, "Not Found")</f>
        <v>NEW-BB-FUNDING-RATES-DOWNLOAD</v>
      </c>
      <c r="D2" s="6" t="s">
        <v>19</v>
      </c>
      <c r="E2" s="13">
        <f>D2 + JobGroupExecutionsOLD!C2</f>
        <v>46023.25</v>
      </c>
      <c r="F2" s="13">
        <f>IF(E2 &gt; ResourceAvailabilityEvents!E2, E2, ResourceAvailabilityEvents!E2)</f>
        <v>46023.263888888891</v>
      </c>
      <c r="G2" s="13">
        <f ca="1" xml:space="preserve"> F2 + RANDBETWEEN(5, 120) / 86400</f>
        <v>46023.264490740745</v>
      </c>
      <c r="H2" s="18">
        <f ca="1">INT((G2 - F2) * 86400/60) + MOD(INT((G2 - F2) * 86400),60)/100</f>
        <v>0.52</v>
      </c>
      <c r="I2" s="3" t="s">
        <v>4</v>
      </c>
      <c r="J2" s="3" t="s">
        <v>7</v>
      </c>
      <c r="K2" s="3" t="s">
        <v>8</v>
      </c>
    </row>
    <row r="3" spans="1:11" x14ac:dyDescent="0.35">
      <c r="A3" s="3" t="s">
        <v>14</v>
      </c>
      <c r="B3" s="3" t="s">
        <v>22</v>
      </c>
      <c r="C3" s="4" t="str">
        <f>_xlfn.XLOOKUP(B3, Mapping!A:A, Mapping!B:B, "Not Found")</f>
        <v>AR-ML-LS2-TRIGGER</v>
      </c>
      <c r="D3" s="3" t="s">
        <v>19</v>
      </c>
      <c r="E3" s="13">
        <f ca="1">F3</f>
        <v>46023.264490740745</v>
      </c>
      <c r="F3" s="13">
        <f ca="1">G2</f>
        <v>46023.264490740745</v>
      </c>
      <c r="G3" s="13">
        <f t="shared" ref="G3:G7" ca="1" si="0" xml:space="preserve"> F3 + RANDBETWEEN(5, 120) / 86400</f>
        <v>46023.2653587963</v>
      </c>
      <c r="H3" s="18">
        <f t="shared" ref="H3:H66" ca="1" si="1">INT((G3 - F3) * 86400/60) + MOD(INT((G3 - F3) * 86400),60)/100</f>
        <v>1.1400000000000001</v>
      </c>
      <c r="I3" s="3" t="s">
        <v>4</v>
      </c>
      <c r="J3" s="3" t="s">
        <v>7</v>
      </c>
      <c r="K3" s="3" t="s">
        <v>8</v>
      </c>
    </row>
    <row r="4" spans="1:11" x14ac:dyDescent="0.35">
      <c r="A4" s="3" t="s">
        <v>15</v>
      </c>
      <c r="B4" s="3" t="s">
        <v>23</v>
      </c>
      <c r="C4" s="4" t="str">
        <f>_xlfn.XLOOKUP(B4, Mapping!A:A, Mapping!B:B, "Not Found")</f>
        <v>CODE-DESC</v>
      </c>
      <c r="D4" s="3" t="s">
        <v>19</v>
      </c>
      <c r="E4" s="13">
        <f ca="1">F4</f>
        <v>46023.264490740745</v>
      </c>
      <c r="F4" s="13">
        <f ca="1">G2</f>
        <v>46023.264490740745</v>
      </c>
      <c r="G4" s="13">
        <f t="shared" ca="1" si="0"/>
        <v>46023.264803240745</v>
      </c>
      <c r="H4" s="18">
        <f t="shared" ca="1" si="1"/>
        <v>0.27</v>
      </c>
      <c r="I4" s="3" t="s">
        <v>4</v>
      </c>
      <c r="J4" s="3" t="s">
        <v>7</v>
      </c>
      <c r="K4" s="3" t="s">
        <v>8</v>
      </c>
    </row>
    <row r="5" spans="1:11" x14ac:dyDescent="0.35">
      <c r="A5" s="3" t="s">
        <v>16</v>
      </c>
      <c r="B5" s="3" t="s">
        <v>24</v>
      </c>
      <c r="C5" s="4" t="str">
        <f>_xlfn.XLOOKUP(B5, Mapping!A:A, Mapping!B:B, "Not Found")</f>
        <v>ONLINE-TO-HIST-SYNC-EXCEPTIONS</v>
      </c>
      <c r="D5" s="3" t="s">
        <v>19</v>
      </c>
      <c r="E5" s="13">
        <f ca="1">F5</f>
        <v>46023.2653587963</v>
      </c>
      <c r="F5" s="13">
        <f ca="1">G3</f>
        <v>46023.2653587963</v>
      </c>
      <c r="G5" s="13">
        <f t="shared" ca="1" si="0"/>
        <v>46023.266342592593</v>
      </c>
      <c r="H5" s="18">
        <f t="shared" ca="1" si="1"/>
        <v>1.24</v>
      </c>
      <c r="I5" s="3" t="s">
        <v>4</v>
      </c>
      <c r="J5" s="3" t="s">
        <v>7</v>
      </c>
      <c r="K5" s="3" t="s">
        <v>8</v>
      </c>
    </row>
    <row r="6" spans="1:11" x14ac:dyDescent="0.35">
      <c r="A6" s="3" t="s">
        <v>17</v>
      </c>
      <c r="B6" s="3" t="s">
        <v>25</v>
      </c>
      <c r="C6" s="4" t="str">
        <f>_xlfn.XLOOKUP(B6, Mapping!A:A, Mapping!B:B, "Not Found")</f>
        <v>LOANIQ-PAST-DUE-DATA</v>
      </c>
      <c r="D6" s="3" t="s">
        <v>19</v>
      </c>
      <c r="E6" s="13">
        <f ca="1">F6</f>
        <v>46023.264803240745</v>
      </c>
      <c r="F6" s="13">
        <f ca="1">G4</f>
        <v>46023.264803240745</v>
      </c>
      <c r="G6" s="13">
        <f t="shared" ca="1" si="0"/>
        <v>46023.265474537038</v>
      </c>
      <c r="H6" s="18">
        <f t="shared" ca="1" si="1"/>
        <v>0.56999999999999995</v>
      </c>
      <c r="I6" s="3" t="s">
        <v>4</v>
      </c>
      <c r="J6" s="3" t="s">
        <v>7</v>
      </c>
      <c r="K6" s="3" t="s">
        <v>8</v>
      </c>
    </row>
    <row r="7" spans="1:11" x14ac:dyDescent="0.35">
      <c r="A7" s="3" t="s">
        <v>18</v>
      </c>
      <c r="B7" s="3" t="s">
        <v>26</v>
      </c>
      <c r="C7" s="4" t="str">
        <f>_xlfn.XLOOKUP(B7, Mapping!A:A, Mapping!B:B, "Not Found")</f>
        <v>AR-ML-LS2-TRIGGER</v>
      </c>
      <c r="D7" s="3" t="s">
        <v>19</v>
      </c>
      <c r="E7" s="13">
        <f ca="1">F7</f>
        <v>46023.266342592593</v>
      </c>
      <c r="F7" s="13">
        <f ca="1">IF(G5 &gt; G6, G5, G6)</f>
        <v>46023.266342592593</v>
      </c>
      <c r="G7" s="13">
        <f t="shared" ca="1" si="0"/>
        <v>46023.26766203704</v>
      </c>
      <c r="H7" s="18">
        <f t="shared" ca="1" si="1"/>
        <v>1.54</v>
      </c>
      <c r="I7" s="3" t="s">
        <v>4</v>
      </c>
      <c r="J7" s="3" t="s">
        <v>7</v>
      </c>
      <c r="K7" s="3" t="s">
        <v>8</v>
      </c>
    </row>
    <row r="8" spans="1:11" x14ac:dyDescent="0.35">
      <c r="A8" s="3" t="s">
        <v>27</v>
      </c>
      <c r="B8" s="4" t="s">
        <v>12</v>
      </c>
      <c r="C8" s="4" t="str">
        <f>_xlfn.XLOOKUP(B8, Mapping!A:A, Mapping!B:B, "Not Found")</f>
        <v>NEW-BB-FUNDING-RATES-DOWNLOAD</v>
      </c>
      <c r="D8" s="3" t="s">
        <v>20</v>
      </c>
      <c r="E8" s="13">
        <f>D3 + JobGroupExecutionsOLD!C3</f>
        <v>46023.25</v>
      </c>
      <c r="F8" s="13">
        <f ca="1">IF(E3 &gt; ResourceAvailabilityEvents!E3, E3, ResourceAvailabilityEvents!E3)</f>
        <v>46024.25</v>
      </c>
      <c r="G8" s="13">
        <f ca="1" xml:space="preserve"> F8 + RANDBETWEEN(5, 120) / 86400</f>
        <v>46024.250428240739</v>
      </c>
      <c r="H8" s="18">
        <f t="shared" ca="1" si="1"/>
        <v>0.36</v>
      </c>
      <c r="I8" s="3" t="s">
        <v>4</v>
      </c>
      <c r="J8" s="3" t="s">
        <v>7</v>
      </c>
      <c r="K8" s="3" t="s">
        <v>8</v>
      </c>
    </row>
    <row r="9" spans="1:11" x14ac:dyDescent="0.35">
      <c r="A9" s="3" t="s">
        <v>28</v>
      </c>
      <c r="B9" s="3" t="s">
        <v>22</v>
      </c>
      <c r="C9" s="4" t="str">
        <f>_xlfn.XLOOKUP(B9, Mapping!A:A, Mapping!B:B, "Not Found")</f>
        <v>AR-ML-LS2-TRIGGER</v>
      </c>
      <c r="D9" s="3" t="s">
        <v>20</v>
      </c>
      <c r="E9" s="13">
        <f ca="1">F9</f>
        <v>46024.250428240739</v>
      </c>
      <c r="F9" s="13">
        <f ca="1">G8</f>
        <v>46024.250428240739</v>
      </c>
      <c r="G9" s="13">
        <f t="shared" ref="G9:G19" ca="1" si="2" xml:space="preserve"> F9 + RANDBETWEEN(5, 120) / 86400</f>
        <v>46024.250960648147</v>
      </c>
      <c r="H9" s="18">
        <f t="shared" ca="1" si="1"/>
        <v>0.46</v>
      </c>
      <c r="I9" s="3" t="s">
        <v>4</v>
      </c>
      <c r="J9" s="3" t="s">
        <v>7</v>
      </c>
      <c r="K9" s="3" t="s">
        <v>8</v>
      </c>
    </row>
    <row r="10" spans="1:11" x14ac:dyDescent="0.35">
      <c r="A10" s="3" t="s">
        <v>29</v>
      </c>
      <c r="B10" s="3" t="s">
        <v>23</v>
      </c>
      <c r="C10" s="4" t="str">
        <f>_xlfn.XLOOKUP(B10, Mapping!A:A, Mapping!B:B, "Not Found")</f>
        <v>CODE-DESC</v>
      </c>
      <c r="D10" s="3" t="s">
        <v>20</v>
      </c>
      <c r="E10" s="13">
        <f t="shared" ref="E10:E13" ca="1" si="3">F10</f>
        <v>46024.250428240739</v>
      </c>
      <c r="F10" s="13">
        <f ca="1">G8</f>
        <v>46024.250428240739</v>
      </c>
      <c r="G10" s="13">
        <f t="shared" ca="1" si="2"/>
        <v>46024.251608796294</v>
      </c>
      <c r="H10" s="18">
        <f t="shared" ca="1" si="1"/>
        <v>1.41</v>
      </c>
      <c r="I10" s="3" t="s">
        <v>4</v>
      </c>
      <c r="J10" s="3" t="s">
        <v>7</v>
      </c>
      <c r="K10" s="3" t="s">
        <v>8</v>
      </c>
    </row>
    <row r="11" spans="1:11" x14ac:dyDescent="0.35">
      <c r="A11" s="3" t="s">
        <v>30</v>
      </c>
      <c r="B11" s="3" t="s">
        <v>24</v>
      </c>
      <c r="C11" s="4" t="str">
        <f>_xlfn.XLOOKUP(B11, Mapping!A:A, Mapping!B:B, "Not Found")</f>
        <v>ONLINE-TO-HIST-SYNC-EXCEPTIONS</v>
      </c>
      <c r="D11" s="3" t="s">
        <v>20</v>
      </c>
      <c r="E11" s="13">
        <f t="shared" ca="1" si="3"/>
        <v>46024.250960648147</v>
      </c>
      <c r="F11" s="13">
        <f ca="1">G9</f>
        <v>46024.250960648147</v>
      </c>
      <c r="G11" s="13">
        <f t="shared" ca="1" si="2"/>
        <v>46024.25204861111</v>
      </c>
      <c r="H11" s="18">
        <f t="shared" ca="1" si="1"/>
        <v>1.33</v>
      </c>
      <c r="I11" s="3" t="s">
        <v>4</v>
      </c>
      <c r="J11" s="3" t="s">
        <v>7</v>
      </c>
      <c r="K11" s="3" t="s">
        <v>8</v>
      </c>
    </row>
    <row r="12" spans="1:11" x14ac:dyDescent="0.35">
      <c r="A12" s="3" t="s">
        <v>31</v>
      </c>
      <c r="B12" s="3" t="s">
        <v>25</v>
      </c>
      <c r="C12" s="4" t="str">
        <f>_xlfn.XLOOKUP(B12, Mapping!A:A, Mapping!B:B, "Not Found")</f>
        <v>LOANIQ-PAST-DUE-DATA</v>
      </c>
      <c r="D12" s="3" t="s">
        <v>20</v>
      </c>
      <c r="E12" s="13">
        <f t="shared" ca="1" si="3"/>
        <v>46024.251608796294</v>
      </c>
      <c r="F12" s="13">
        <f ca="1">G10</f>
        <v>46024.251608796294</v>
      </c>
      <c r="G12" s="13">
        <f t="shared" ca="1" si="2"/>
        <v>46024.252337962964</v>
      </c>
      <c r="H12" s="18">
        <f t="shared" ca="1" si="1"/>
        <v>1.03</v>
      </c>
      <c r="I12" s="3" t="s">
        <v>4</v>
      </c>
      <c r="J12" s="3" t="s">
        <v>7</v>
      </c>
      <c r="K12" s="3" t="s">
        <v>8</v>
      </c>
    </row>
    <row r="13" spans="1:11" x14ac:dyDescent="0.35">
      <c r="A13" s="3" t="s">
        <v>32</v>
      </c>
      <c r="B13" s="3" t="s">
        <v>26</v>
      </c>
      <c r="C13" s="4" t="str">
        <f>_xlfn.XLOOKUP(B13, Mapping!A:A, Mapping!B:B, "Not Found")</f>
        <v>AR-ML-LS2-TRIGGER</v>
      </c>
      <c r="D13" s="3" t="s">
        <v>20</v>
      </c>
      <c r="E13" s="13">
        <f t="shared" ca="1" si="3"/>
        <v>46024.252337962964</v>
      </c>
      <c r="F13" s="13">
        <f ca="1">IF(G11 &gt; G12, G11, G12)</f>
        <v>46024.252337962964</v>
      </c>
      <c r="G13" s="13">
        <f t="shared" ca="1" si="2"/>
        <v>46024.253275462965</v>
      </c>
      <c r="H13" s="18">
        <f t="shared" ca="1" si="1"/>
        <v>1.21</v>
      </c>
      <c r="I13" s="3" t="s">
        <v>4</v>
      </c>
      <c r="J13" s="3" t="s">
        <v>7</v>
      </c>
      <c r="K13" s="3" t="s">
        <v>8</v>
      </c>
    </row>
    <row r="14" spans="1:11" x14ac:dyDescent="0.35">
      <c r="A14" s="3" t="s">
        <v>33</v>
      </c>
      <c r="B14" s="4" t="s">
        <v>12</v>
      </c>
      <c r="C14" s="4" t="str">
        <f>_xlfn.XLOOKUP(B14, Mapping!A:A, Mapping!B:B, "Not Found")</f>
        <v>NEW-BB-FUNDING-RATES-DOWNLOAD</v>
      </c>
      <c r="D14" s="6" t="s">
        <v>21</v>
      </c>
      <c r="E14" s="13">
        <f>D4 + JobGroupExecutionsOLD!C4</f>
        <v>46023.25</v>
      </c>
      <c r="F14" s="13">
        <f ca="1">IF(E4 &gt; ResourceAvailabilityEvents!E4, E4, ResourceAvailabilityEvents!E4)</f>
        <v>46025.25</v>
      </c>
      <c r="G14" s="13">
        <f ca="1" xml:space="preserve"> F14 + RANDBETWEEN(5, 120) / 86400</f>
        <v>46025.250277777777</v>
      </c>
      <c r="H14" s="18">
        <f t="shared" ca="1" si="1"/>
        <v>0.23</v>
      </c>
      <c r="I14" s="3" t="s">
        <v>4</v>
      </c>
      <c r="J14" s="3" t="s">
        <v>7</v>
      </c>
      <c r="K14" s="3" t="s">
        <v>8</v>
      </c>
    </row>
    <row r="15" spans="1:11" x14ac:dyDescent="0.35">
      <c r="A15" s="3" t="s">
        <v>34</v>
      </c>
      <c r="B15" s="3" t="s">
        <v>22</v>
      </c>
      <c r="C15" s="4" t="str">
        <f>_xlfn.XLOOKUP(B15, Mapping!A:A, Mapping!B:B, "Not Found")</f>
        <v>AR-ML-LS2-TRIGGER</v>
      </c>
      <c r="D15" s="6" t="s">
        <v>21</v>
      </c>
      <c r="E15" s="13">
        <f ca="1">F15</f>
        <v>46025.250277777777</v>
      </c>
      <c r="F15" s="13">
        <f ca="1">G14</f>
        <v>46025.250277777777</v>
      </c>
      <c r="G15" s="13">
        <f t="shared" ca="1" si="2"/>
        <v>46025.250520833331</v>
      </c>
      <c r="H15" s="18">
        <f t="shared" ca="1" si="1"/>
        <v>0.2</v>
      </c>
      <c r="I15" s="3" t="s">
        <v>4</v>
      </c>
      <c r="J15" s="3" t="s">
        <v>7</v>
      </c>
      <c r="K15" s="3" t="s">
        <v>8</v>
      </c>
    </row>
    <row r="16" spans="1:11" x14ac:dyDescent="0.35">
      <c r="A16" s="3" t="s">
        <v>35</v>
      </c>
      <c r="B16" s="3" t="s">
        <v>23</v>
      </c>
      <c r="C16" s="4" t="str">
        <f>_xlfn.XLOOKUP(B16, Mapping!A:A, Mapping!B:B, "Not Found")</f>
        <v>CODE-DESC</v>
      </c>
      <c r="D16" s="6" t="s">
        <v>21</v>
      </c>
      <c r="E16" s="13">
        <f t="shared" ref="E16:E19" ca="1" si="4">F16</f>
        <v>46025.250277777777</v>
      </c>
      <c r="F16" s="13">
        <f ca="1">G14</f>
        <v>46025.250277777777</v>
      </c>
      <c r="G16" s="13">
        <f t="shared" ca="1" si="2"/>
        <v>46025.251585648148</v>
      </c>
      <c r="H16" s="18">
        <f t="shared" ca="1" si="1"/>
        <v>1.53</v>
      </c>
      <c r="I16" s="3" t="s">
        <v>4</v>
      </c>
      <c r="J16" s="3" t="s">
        <v>7</v>
      </c>
      <c r="K16" s="3" t="s">
        <v>8</v>
      </c>
    </row>
    <row r="17" spans="1:11" x14ac:dyDescent="0.35">
      <c r="A17" s="3" t="s">
        <v>36</v>
      </c>
      <c r="B17" s="3" t="s">
        <v>24</v>
      </c>
      <c r="C17" s="4" t="str">
        <f>_xlfn.XLOOKUP(B17, Mapping!A:A, Mapping!B:B, "Not Found")</f>
        <v>ONLINE-TO-HIST-SYNC-EXCEPTIONS</v>
      </c>
      <c r="D17" s="6" t="s">
        <v>21</v>
      </c>
      <c r="E17" s="13">
        <f t="shared" ca="1" si="4"/>
        <v>46025.250520833331</v>
      </c>
      <c r="F17" s="13">
        <f ca="1">G15</f>
        <v>46025.250520833331</v>
      </c>
      <c r="G17" s="13">
        <f t="shared" ca="1" si="2"/>
        <v>46025.25163194444</v>
      </c>
      <c r="H17" s="18">
        <f t="shared" ca="1" si="1"/>
        <v>1.35</v>
      </c>
      <c r="I17" s="3" t="s">
        <v>4</v>
      </c>
      <c r="J17" s="3" t="s">
        <v>7</v>
      </c>
      <c r="K17" s="3" t="s">
        <v>8</v>
      </c>
    </row>
    <row r="18" spans="1:11" x14ac:dyDescent="0.35">
      <c r="A18" s="3" t="s">
        <v>37</v>
      </c>
      <c r="B18" s="3" t="s">
        <v>25</v>
      </c>
      <c r="C18" s="4" t="str">
        <f>_xlfn.XLOOKUP(B18, Mapping!A:A, Mapping!B:B, "Not Found")</f>
        <v>LOANIQ-PAST-DUE-DATA</v>
      </c>
      <c r="D18" s="6" t="s">
        <v>21</v>
      </c>
      <c r="E18" s="13">
        <f t="shared" ca="1" si="4"/>
        <v>46025.251585648148</v>
      </c>
      <c r="F18" s="13">
        <f ca="1">G16</f>
        <v>46025.251585648148</v>
      </c>
      <c r="G18" s="13">
        <f t="shared" ca="1" si="2"/>
        <v>46025.252430555556</v>
      </c>
      <c r="H18" s="18">
        <f t="shared" ca="1" si="1"/>
        <v>1.1299999999999999</v>
      </c>
      <c r="I18" s="3" t="s">
        <v>4</v>
      </c>
      <c r="J18" s="3" t="s">
        <v>7</v>
      </c>
      <c r="K18" s="3" t="s">
        <v>8</v>
      </c>
    </row>
    <row r="19" spans="1:11" x14ac:dyDescent="0.35">
      <c r="A19" s="3" t="s">
        <v>38</v>
      </c>
      <c r="B19" s="3" t="s">
        <v>26</v>
      </c>
      <c r="C19" s="4" t="str">
        <f>_xlfn.XLOOKUP(B19, Mapping!A:A, Mapping!B:B, "Not Found")</f>
        <v>AR-ML-LS2-TRIGGER</v>
      </c>
      <c r="D19" s="6" t="s">
        <v>21</v>
      </c>
      <c r="E19" s="13">
        <f t="shared" ca="1" si="4"/>
        <v>46025.252430555556</v>
      </c>
      <c r="F19" s="13">
        <f ca="1">IF(G17 &gt; G18, G17, G18)</f>
        <v>46025.252430555556</v>
      </c>
      <c r="G19" s="13">
        <f t="shared" ca="1" si="2"/>
        <v>46025.252847222226</v>
      </c>
      <c r="H19" s="18">
        <f t="shared" ca="1" si="1"/>
        <v>0.36</v>
      </c>
      <c r="I19" s="3" t="s">
        <v>4</v>
      </c>
      <c r="J19" s="3" t="s">
        <v>7</v>
      </c>
      <c r="K19" s="3" t="s">
        <v>8</v>
      </c>
    </row>
    <row r="20" spans="1:11" x14ac:dyDescent="0.35">
      <c r="A20" s="3" t="s">
        <v>39</v>
      </c>
      <c r="B20" s="3" t="s">
        <v>42</v>
      </c>
      <c r="C20" s="4" t="str">
        <f>_xlfn.XLOOKUP(B20, Mapping!A:A, Mapping!B:B, "Not Found")</f>
        <v>NEW-BB-FUNDING-RATES-DOWNLOAD</v>
      </c>
      <c r="D20" s="3" t="s">
        <v>19</v>
      </c>
      <c r="E20" s="13">
        <f>D5 + JobGroupExecutionsOLD!C5</f>
        <v>46023.583333333336</v>
      </c>
      <c r="F20" s="13">
        <f ca="1">IF(E5 &gt; ResourceAvailabilityEvents!E11, E5, ResourceAvailabilityEvents!E11)</f>
        <v>46023.583333333336</v>
      </c>
      <c r="G20" s="13">
        <f ca="1" xml:space="preserve"> F20 + RANDBETWEEN(280, 400) / 86400</f>
        <v>46023.587835648148</v>
      </c>
      <c r="H20" s="18">
        <f t="shared" ca="1" si="1"/>
        <v>6.28</v>
      </c>
      <c r="I20" s="3" t="s">
        <v>4</v>
      </c>
      <c r="J20" s="3" t="s">
        <v>7</v>
      </c>
      <c r="K20" s="3" t="s">
        <v>8</v>
      </c>
    </row>
    <row r="21" spans="1:11" x14ac:dyDescent="0.35">
      <c r="A21" s="3" t="s">
        <v>40</v>
      </c>
      <c r="B21" s="3" t="s">
        <v>43</v>
      </c>
      <c r="C21" s="4" t="str">
        <f>_xlfn.XLOOKUP(B21, Mapping!A:A, Mapping!B:B, "Not Found")</f>
        <v>AR-ML-LS2-TRIGGER</v>
      </c>
      <c r="D21" s="3" t="s">
        <v>19</v>
      </c>
      <c r="E21" s="13">
        <f ca="1">F21</f>
        <v>46023.587835648148</v>
      </c>
      <c r="F21" s="13">
        <f ca="1">G20</f>
        <v>46023.587835648148</v>
      </c>
      <c r="G21" s="13">
        <f ca="1" xml:space="preserve"> F21 + RANDBETWEEN(280, 390) / 86400</f>
        <v>46023.591157407405</v>
      </c>
      <c r="H21" s="18">
        <f t="shared" ca="1" si="1"/>
        <v>4.46</v>
      </c>
      <c r="I21" s="3" t="s">
        <v>4</v>
      </c>
      <c r="J21" s="3" t="s">
        <v>7</v>
      </c>
      <c r="K21" s="3" t="s">
        <v>8</v>
      </c>
    </row>
    <row r="22" spans="1:11" x14ac:dyDescent="0.35">
      <c r="A22" s="3" t="s">
        <v>41</v>
      </c>
      <c r="B22" s="3" t="s">
        <v>44</v>
      </c>
      <c r="C22" s="4" t="str">
        <f>_xlfn.XLOOKUP(B22, Mapping!A:A, Mapping!B:B, "Not Found")</f>
        <v>CODE-DESC</v>
      </c>
      <c r="D22" s="3" t="s">
        <v>19</v>
      </c>
      <c r="E22" s="13">
        <f t="shared" ref="E22:E28" ca="1" si="5">F22</f>
        <v>46023.587835648148</v>
      </c>
      <c r="F22" s="13">
        <f ca="1">G20</f>
        <v>46023.587835648148</v>
      </c>
      <c r="G22" s="13">
        <f ca="1" xml:space="preserve"> F22 + RANDBETWEEN(350, 450) / 86400</f>
        <v>46023.592372685183</v>
      </c>
      <c r="H22" s="18">
        <f t="shared" ca="1" si="1"/>
        <v>6.31</v>
      </c>
      <c r="I22" s="3" t="s">
        <v>4</v>
      </c>
      <c r="J22" s="3" t="s">
        <v>7</v>
      </c>
      <c r="K22" s="3" t="s">
        <v>8</v>
      </c>
    </row>
    <row r="23" spans="1:11" x14ac:dyDescent="0.35">
      <c r="A23" s="3" t="s">
        <v>51</v>
      </c>
      <c r="B23" s="3" t="s">
        <v>45</v>
      </c>
      <c r="C23" s="4" t="str">
        <f>_xlfn.XLOOKUP(B23, Mapping!A:A, Mapping!B:B, "Not Found")</f>
        <v>ONLINE-TO-HIST-SYNC-EXCEPTIONS</v>
      </c>
      <c r="D23" s="3" t="s">
        <v>19</v>
      </c>
      <c r="E23" s="13">
        <f t="shared" ca="1" si="5"/>
        <v>46023.591157407405</v>
      </c>
      <c r="F23" s="13">
        <f ca="1">G21</f>
        <v>46023.591157407405</v>
      </c>
      <c r="G23" s="13">
        <f ca="1" xml:space="preserve"> F23 + RANDBETWEEN(410, 710) / 86400</f>
        <v>46023.596840277773</v>
      </c>
      <c r="H23" s="18">
        <f t="shared" ca="1" si="1"/>
        <v>8.1</v>
      </c>
      <c r="I23" s="3" t="s">
        <v>4</v>
      </c>
      <c r="J23" s="3" t="s">
        <v>7</v>
      </c>
      <c r="K23" s="3" t="s">
        <v>8</v>
      </c>
    </row>
    <row r="24" spans="1:11" x14ac:dyDescent="0.35">
      <c r="A24" s="3" t="s">
        <v>52</v>
      </c>
      <c r="B24" s="3" t="s">
        <v>46</v>
      </c>
      <c r="C24" s="4" t="str">
        <f>_xlfn.XLOOKUP(B24, Mapping!A:A, Mapping!B:B, "Not Found")</f>
        <v>LOANIQ-PAST-DUE-DATA</v>
      </c>
      <c r="D24" s="3" t="s">
        <v>19</v>
      </c>
      <c r="E24" s="13">
        <f t="shared" ca="1" si="5"/>
        <v>46023.592372685183</v>
      </c>
      <c r="F24" s="13">
        <f ca="1">G22</f>
        <v>46023.592372685183</v>
      </c>
      <c r="G24" s="13">
        <f ca="1" xml:space="preserve"> F24 + RANDBETWEEN(350, 650) / 86400</f>
        <v>46023.597928240742</v>
      </c>
      <c r="H24" s="18">
        <f t="shared" ca="1" si="1"/>
        <v>8</v>
      </c>
      <c r="I24" s="3" t="s">
        <v>4</v>
      </c>
      <c r="J24" s="3" t="s">
        <v>7</v>
      </c>
      <c r="K24" s="3" t="s">
        <v>8</v>
      </c>
    </row>
    <row r="25" spans="1:11" x14ac:dyDescent="0.35">
      <c r="A25" s="3" t="s">
        <v>53</v>
      </c>
      <c r="B25" s="3" t="s">
        <v>47</v>
      </c>
      <c r="C25" s="4" t="str">
        <f>_xlfn.XLOOKUP(B25, Mapping!A:A, Mapping!B:B, "Not Found")</f>
        <v>APMS-LL-AWS-S3-UPLOAD</v>
      </c>
      <c r="D25" s="3" t="s">
        <v>19</v>
      </c>
      <c r="E25" s="13">
        <f t="shared" ca="1" si="5"/>
        <v>46023.596840277773</v>
      </c>
      <c r="F25" s="13">
        <f ca="1">G23</f>
        <v>46023.596840277773</v>
      </c>
      <c r="G25" s="13">
        <f ca="1" xml:space="preserve"> F25 + RANDBETWEEN(250, 450) / 86400</f>
        <v>46023.601898148147</v>
      </c>
      <c r="H25" s="18">
        <f t="shared" ca="1" si="1"/>
        <v>7.17</v>
      </c>
      <c r="I25" s="3" t="s">
        <v>4</v>
      </c>
      <c r="J25" s="3" t="s">
        <v>7</v>
      </c>
      <c r="K25" s="3" t="s">
        <v>8</v>
      </c>
    </row>
    <row r="26" spans="1:11" x14ac:dyDescent="0.35">
      <c r="A26" s="3" t="s">
        <v>54</v>
      </c>
      <c r="B26" s="3" t="s">
        <v>48</v>
      </c>
      <c r="C26" s="4" t="str">
        <f>_xlfn.XLOOKUP(B26, Mapping!A:A, Mapping!B:B, "Not Found")</f>
        <v>AR-ML-LS2-TRIGGER</v>
      </c>
      <c r="D26" s="3" t="s">
        <v>19</v>
      </c>
      <c r="E26" s="13">
        <f t="shared" ca="1" si="5"/>
        <v>46023.597928240742</v>
      </c>
      <c r="F26" s="13">
        <f ca="1">G24</f>
        <v>46023.597928240742</v>
      </c>
      <c r="G26" s="13">
        <f ca="1" xml:space="preserve"> F26 + RANDBETWEEN(250, 450) / 86400</f>
        <v>46023.601979166669</v>
      </c>
      <c r="H26" s="18">
        <f t="shared" ca="1" si="1"/>
        <v>5.5</v>
      </c>
      <c r="I26" s="3" t="s">
        <v>4</v>
      </c>
      <c r="J26" s="3" t="s">
        <v>7</v>
      </c>
      <c r="K26" s="3" t="s">
        <v>8</v>
      </c>
    </row>
    <row r="27" spans="1:11" x14ac:dyDescent="0.35">
      <c r="A27" s="3" t="s">
        <v>55</v>
      </c>
      <c r="B27" s="3" t="s">
        <v>50</v>
      </c>
      <c r="C27" s="4" t="str">
        <f>_xlfn.XLOOKUP(B27, Mapping!A:A, Mapping!B:B, "Not Found")</f>
        <v>NEW-LOANIQ-COLLATERAL-MIG</v>
      </c>
      <c r="D27" s="3" t="s">
        <v>19</v>
      </c>
      <c r="E27" s="13">
        <f t="shared" ca="1" si="5"/>
        <v>46023.601979166669</v>
      </c>
      <c r="F27" s="13">
        <f ca="1">G26</f>
        <v>46023.601979166669</v>
      </c>
      <c r="G27" s="13">
        <f ca="1" xml:space="preserve"> F27 + RANDBETWEEN(250, 450) / 86400</f>
        <v>46023.604988425926</v>
      </c>
      <c r="H27" s="18">
        <f t="shared" ca="1" si="1"/>
        <v>4.1900000000000004</v>
      </c>
      <c r="I27" s="3" t="s">
        <v>4</v>
      </c>
      <c r="J27" s="3" t="s">
        <v>7</v>
      </c>
      <c r="K27" s="3" t="s">
        <v>8</v>
      </c>
    </row>
    <row r="28" spans="1:11" x14ac:dyDescent="0.35">
      <c r="A28" s="3" t="s">
        <v>56</v>
      </c>
      <c r="B28" s="3" t="s">
        <v>49</v>
      </c>
      <c r="C28" s="4" t="str">
        <f>_xlfn.XLOOKUP(B28, Mapping!A:A, Mapping!B:B, "Not Found")</f>
        <v>LS2H-DAILY-PREP</v>
      </c>
      <c r="D28" s="3" t="s">
        <v>19</v>
      </c>
      <c r="E28" s="13">
        <f t="shared" ca="1" si="5"/>
        <v>46023.604988425926</v>
      </c>
      <c r="F28" s="13">
        <f ca="1">IF(G25 &gt; G27, G25, G27)</f>
        <v>46023.604988425926</v>
      </c>
      <c r="G28" s="13">
        <f ca="1" xml:space="preserve"> F28 + RANDBETWEEN(150, 350) / 86400</f>
        <v>46023.606724537036</v>
      </c>
      <c r="H28" s="18">
        <f t="shared" ca="1" si="1"/>
        <v>2.29</v>
      </c>
      <c r="I28" s="3" t="s">
        <v>4</v>
      </c>
      <c r="J28" s="3" t="s">
        <v>7</v>
      </c>
      <c r="K28" s="3" t="s">
        <v>8</v>
      </c>
    </row>
    <row r="29" spans="1:11" x14ac:dyDescent="0.35">
      <c r="A29" s="3" t="s">
        <v>57</v>
      </c>
      <c r="B29" s="3" t="s">
        <v>42</v>
      </c>
      <c r="C29" s="4" t="str">
        <f>_xlfn.XLOOKUP(B29, Mapping!A:A, Mapping!B:B, "Not Found")</f>
        <v>NEW-BB-FUNDING-RATES-DOWNLOAD</v>
      </c>
      <c r="D29" s="3" t="s">
        <v>20</v>
      </c>
      <c r="E29" s="13">
        <f>D6 + JobGroupExecutionsOLD!C6</f>
        <v>46023.583333333336</v>
      </c>
      <c r="F29" s="13">
        <f ca="1">IF(E6 &gt; ResourceAvailabilityEvents!E12, E6, ResourceAvailabilityEvents!E12)</f>
        <v>46024.583333333336</v>
      </c>
      <c r="G29" s="13">
        <f ca="1" xml:space="preserve"> F29 + RANDBETWEEN(280, 400) / 86400</f>
        <v>46024.58729166667</v>
      </c>
      <c r="H29" s="18">
        <f t="shared" ca="1" si="1"/>
        <v>5.42</v>
      </c>
      <c r="I29" s="3" t="s">
        <v>4</v>
      </c>
      <c r="J29" s="3" t="s">
        <v>7</v>
      </c>
      <c r="K29" s="3" t="s">
        <v>8</v>
      </c>
    </row>
    <row r="30" spans="1:11" x14ac:dyDescent="0.35">
      <c r="A30" s="3" t="s">
        <v>58</v>
      </c>
      <c r="B30" s="3" t="s">
        <v>43</v>
      </c>
      <c r="C30" s="4" t="str">
        <f>_xlfn.XLOOKUP(B30, Mapping!A:A, Mapping!B:B, "Not Found")</f>
        <v>AR-ML-LS2-TRIGGER</v>
      </c>
      <c r="D30" s="3" t="s">
        <v>20</v>
      </c>
      <c r="E30" s="13">
        <f ca="1">F30</f>
        <v>46024.58729166667</v>
      </c>
      <c r="F30" s="13">
        <f ca="1">G29</f>
        <v>46024.58729166667</v>
      </c>
      <c r="G30" s="13">
        <f ca="1" xml:space="preserve"> F30 + RANDBETWEEN(280, 390) / 86400</f>
        <v>46024.591562500005</v>
      </c>
      <c r="H30" s="18">
        <f t="shared" ca="1" si="1"/>
        <v>6.09</v>
      </c>
      <c r="I30" s="3" t="s">
        <v>4</v>
      </c>
      <c r="J30" s="3" t="s">
        <v>7</v>
      </c>
      <c r="K30" s="3" t="s">
        <v>8</v>
      </c>
    </row>
    <row r="31" spans="1:11" x14ac:dyDescent="0.35">
      <c r="A31" s="3" t="s">
        <v>59</v>
      </c>
      <c r="B31" s="3" t="s">
        <v>44</v>
      </c>
      <c r="C31" s="4" t="str">
        <f>_xlfn.XLOOKUP(B31, Mapping!A:A, Mapping!B:B, "Not Found")</f>
        <v>CODE-DESC</v>
      </c>
      <c r="D31" s="3" t="s">
        <v>20</v>
      </c>
      <c r="E31" s="13">
        <f t="shared" ref="E31:E37" ca="1" si="6">F31</f>
        <v>46024.58729166667</v>
      </c>
      <c r="F31" s="13">
        <f ca="1">G29</f>
        <v>46024.58729166667</v>
      </c>
      <c r="G31" s="13">
        <f ca="1" xml:space="preserve"> F31 + RANDBETWEEN(350, 450) / 86400</f>
        <v>46024.592106481483</v>
      </c>
      <c r="H31" s="18">
        <f t="shared" ca="1" si="1"/>
        <v>6.55</v>
      </c>
      <c r="I31" s="3" t="s">
        <v>4</v>
      </c>
      <c r="J31" s="3" t="s">
        <v>7</v>
      </c>
      <c r="K31" s="3" t="s">
        <v>8</v>
      </c>
    </row>
    <row r="32" spans="1:11" x14ac:dyDescent="0.35">
      <c r="A32" s="3" t="s">
        <v>60</v>
      </c>
      <c r="B32" s="3" t="s">
        <v>45</v>
      </c>
      <c r="C32" s="4" t="str">
        <f>_xlfn.XLOOKUP(B32, Mapping!A:A, Mapping!B:B, "Not Found")</f>
        <v>ONLINE-TO-HIST-SYNC-EXCEPTIONS</v>
      </c>
      <c r="D32" s="3" t="s">
        <v>20</v>
      </c>
      <c r="E32" s="13">
        <f t="shared" ca="1" si="6"/>
        <v>46024.591562500005</v>
      </c>
      <c r="F32" s="13">
        <f ca="1">G30</f>
        <v>46024.591562500005</v>
      </c>
      <c r="G32" s="13">
        <f ca="1" xml:space="preserve"> F32 + RANDBETWEEN(410, 710) / 86400</f>
        <v>46024.598333333335</v>
      </c>
      <c r="H32" s="18">
        <f t="shared" ca="1" si="1"/>
        <v>9.44</v>
      </c>
      <c r="I32" s="3" t="s">
        <v>4</v>
      </c>
      <c r="J32" s="3" t="s">
        <v>7</v>
      </c>
      <c r="K32" s="3" t="s">
        <v>8</v>
      </c>
    </row>
    <row r="33" spans="1:11" x14ac:dyDescent="0.35">
      <c r="A33" s="3" t="s">
        <v>61</v>
      </c>
      <c r="B33" s="3" t="s">
        <v>46</v>
      </c>
      <c r="C33" s="4" t="str">
        <f>_xlfn.XLOOKUP(B33, Mapping!A:A, Mapping!B:B, "Not Found")</f>
        <v>LOANIQ-PAST-DUE-DATA</v>
      </c>
      <c r="D33" s="3" t="s">
        <v>20</v>
      </c>
      <c r="E33" s="13">
        <f t="shared" ca="1" si="6"/>
        <v>46024.592106481483</v>
      </c>
      <c r="F33" s="13">
        <f ca="1">G31</f>
        <v>46024.592106481483</v>
      </c>
      <c r="G33" s="13">
        <f ca="1" xml:space="preserve"> F33 + RANDBETWEEN(350, 650) / 86400</f>
        <v>46024.598483796297</v>
      </c>
      <c r="H33" s="18">
        <f t="shared" ca="1" si="1"/>
        <v>9.1</v>
      </c>
      <c r="I33" s="3" t="s">
        <v>4</v>
      </c>
      <c r="J33" s="3" t="s">
        <v>7</v>
      </c>
      <c r="K33" s="3" t="s">
        <v>8</v>
      </c>
    </row>
    <row r="34" spans="1:11" x14ac:dyDescent="0.35">
      <c r="A34" s="3" t="s">
        <v>62</v>
      </c>
      <c r="B34" s="3" t="s">
        <v>47</v>
      </c>
      <c r="C34" s="4" t="str">
        <f>_xlfn.XLOOKUP(B34, Mapping!A:A, Mapping!B:B, "Not Found")</f>
        <v>APMS-LL-AWS-S3-UPLOAD</v>
      </c>
      <c r="D34" s="3" t="s">
        <v>20</v>
      </c>
      <c r="E34" s="13">
        <f t="shared" ca="1" si="6"/>
        <v>46024.598333333335</v>
      </c>
      <c r="F34" s="13">
        <f ca="1">G32</f>
        <v>46024.598333333335</v>
      </c>
      <c r="G34" s="13">
        <f ca="1" xml:space="preserve"> F34 + RANDBETWEEN(250, 450) / 86400</f>
        <v>46024.602314814816</v>
      </c>
      <c r="H34" s="18">
        <f t="shared" ca="1" si="1"/>
        <v>5.43</v>
      </c>
      <c r="I34" s="3" t="s">
        <v>4</v>
      </c>
      <c r="J34" s="3" t="s">
        <v>7</v>
      </c>
      <c r="K34" s="3" t="s">
        <v>8</v>
      </c>
    </row>
    <row r="35" spans="1:11" x14ac:dyDescent="0.35">
      <c r="A35" s="3" t="s">
        <v>63</v>
      </c>
      <c r="B35" s="3" t="s">
        <v>48</v>
      </c>
      <c r="C35" s="4" t="str">
        <f>_xlfn.XLOOKUP(B35, Mapping!A:A, Mapping!B:B, "Not Found")</f>
        <v>AR-ML-LS2-TRIGGER</v>
      </c>
      <c r="D35" s="3" t="s">
        <v>20</v>
      </c>
      <c r="E35" s="13">
        <f t="shared" ca="1" si="6"/>
        <v>46024.598483796297</v>
      </c>
      <c r="F35" s="13">
        <f ca="1">G33</f>
        <v>46024.598483796297</v>
      </c>
      <c r="G35" s="13">
        <f ca="1" xml:space="preserve"> F35 + RANDBETWEEN(250, 450) / 86400</f>
        <v>46024.601701388892</v>
      </c>
      <c r="H35" s="18">
        <f t="shared" ca="1" si="1"/>
        <v>4.38</v>
      </c>
      <c r="I35" s="3" t="s">
        <v>4</v>
      </c>
      <c r="J35" s="3" t="s">
        <v>7</v>
      </c>
      <c r="K35" s="3" t="s">
        <v>8</v>
      </c>
    </row>
    <row r="36" spans="1:11" x14ac:dyDescent="0.35">
      <c r="A36" s="3" t="s">
        <v>64</v>
      </c>
      <c r="B36" s="3" t="s">
        <v>50</v>
      </c>
      <c r="C36" s="4" t="str">
        <f>_xlfn.XLOOKUP(B36, Mapping!A:A, Mapping!B:B, "Not Found")</f>
        <v>NEW-LOANIQ-COLLATERAL-MIG</v>
      </c>
      <c r="D36" s="3" t="s">
        <v>20</v>
      </c>
      <c r="E36" s="13">
        <f t="shared" ca="1" si="6"/>
        <v>46024.601701388892</v>
      </c>
      <c r="F36" s="13">
        <f ca="1">G35</f>
        <v>46024.601701388892</v>
      </c>
      <c r="G36" s="13">
        <f ca="1" xml:space="preserve"> F36 + RANDBETWEEN(250, 450) / 86400</f>
        <v>46024.605162037042</v>
      </c>
      <c r="H36" s="18">
        <f t="shared" ca="1" si="1"/>
        <v>4.59</v>
      </c>
      <c r="I36" s="3" t="s">
        <v>4</v>
      </c>
      <c r="J36" s="3" t="s">
        <v>7</v>
      </c>
      <c r="K36" s="3" t="s">
        <v>8</v>
      </c>
    </row>
    <row r="37" spans="1:11" x14ac:dyDescent="0.35">
      <c r="A37" s="3" t="s">
        <v>65</v>
      </c>
      <c r="B37" s="3" t="s">
        <v>49</v>
      </c>
      <c r="C37" s="4" t="str">
        <f>_xlfn.XLOOKUP(B37, Mapping!A:A, Mapping!B:B, "Not Found")</f>
        <v>LS2H-DAILY-PREP</v>
      </c>
      <c r="D37" s="3" t="s">
        <v>20</v>
      </c>
      <c r="E37" s="13">
        <f t="shared" ca="1" si="6"/>
        <v>46024.605162037042</v>
      </c>
      <c r="F37" s="13">
        <f ca="1">IF(G34 &gt; G36, G34, G36)</f>
        <v>46024.605162037042</v>
      </c>
      <c r="G37" s="13">
        <f ca="1" xml:space="preserve"> F37 + RANDBETWEEN(150, 350) / 86400</f>
        <v>46024.609062500007</v>
      </c>
      <c r="H37" s="18">
        <f t="shared" ca="1" si="1"/>
        <v>5.37</v>
      </c>
      <c r="I37" s="3" t="s">
        <v>4</v>
      </c>
      <c r="J37" s="3" t="s">
        <v>7</v>
      </c>
      <c r="K37" s="3" t="s">
        <v>8</v>
      </c>
    </row>
    <row r="38" spans="1:11" x14ac:dyDescent="0.35">
      <c r="A38" s="3" t="s">
        <v>66</v>
      </c>
      <c r="B38" s="3" t="s">
        <v>42</v>
      </c>
      <c r="C38" s="4" t="str">
        <f>_xlfn.XLOOKUP(B38, Mapping!A:A, Mapping!B:B, "Not Found")</f>
        <v>NEW-BB-FUNDING-RATES-DOWNLOAD</v>
      </c>
      <c r="D38" s="6" t="s">
        <v>21</v>
      </c>
      <c r="E38" s="13">
        <f>D7 + JobGroupExecutionsOLD!C7</f>
        <v>46023.583333333336</v>
      </c>
      <c r="F38" s="13">
        <f ca="1">IF(E7 &gt; ResourceAvailabilityEvents!E13, E7, ResourceAvailabilityEvents!E13)</f>
        <v>46025.583333333336</v>
      </c>
      <c r="G38" s="13">
        <f ca="1" xml:space="preserve"> F38 + RANDBETWEEN(280, 400) / 86400</f>
        <v>46025.587754629632</v>
      </c>
      <c r="H38" s="18">
        <f t="shared" ca="1" si="1"/>
        <v>6.22</v>
      </c>
      <c r="I38" s="3" t="s">
        <v>4</v>
      </c>
      <c r="J38" s="3" t="s">
        <v>7</v>
      </c>
      <c r="K38" s="3" t="s">
        <v>8</v>
      </c>
    </row>
    <row r="39" spans="1:11" x14ac:dyDescent="0.35">
      <c r="A39" s="3" t="s">
        <v>67</v>
      </c>
      <c r="B39" s="3" t="s">
        <v>43</v>
      </c>
      <c r="C39" s="4" t="str">
        <f>_xlfn.XLOOKUP(B39, Mapping!A:A, Mapping!B:B, "Not Found")</f>
        <v>AR-ML-LS2-TRIGGER</v>
      </c>
      <c r="D39" s="6" t="s">
        <v>21</v>
      </c>
      <c r="E39" s="13">
        <f ca="1">F39</f>
        <v>46025.587754629632</v>
      </c>
      <c r="F39" s="13">
        <f ca="1">G38</f>
        <v>46025.587754629632</v>
      </c>
      <c r="G39" s="13">
        <f ca="1" xml:space="preserve"> F39 + RANDBETWEEN(280, 390) / 86400</f>
        <v>46025.591793981483</v>
      </c>
      <c r="H39" s="18">
        <f t="shared" ca="1" si="1"/>
        <v>5.48</v>
      </c>
      <c r="I39" s="3" t="s">
        <v>4</v>
      </c>
      <c r="J39" s="3" t="s">
        <v>7</v>
      </c>
      <c r="K39" s="3" t="s">
        <v>8</v>
      </c>
    </row>
    <row r="40" spans="1:11" x14ac:dyDescent="0.35">
      <c r="A40" s="3" t="s">
        <v>68</v>
      </c>
      <c r="B40" s="3" t="s">
        <v>44</v>
      </c>
      <c r="C40" s="4" t="str">
        <f>_xlfn.XLOOKUP(B40, Mapping!A:A, Mapping!B:B, "Not Found")</f>
        <v>CODE-DESC</v>
      </c>
      <c r="D40" s="6" t="s">
        <v>21</v>
      </c>
      <c r="E40" s="13">
        <f t="shared" ref="E40:E46" ca="1" si="7">F40</f>
        <v>46025.587754629632</v>
      </c>
      <c r="F40" s="13">
        <f ca="1">G38</f>
        <v>46025.587754629632</v>
      </c>
      <c r="G40" s="13">
        <f ca="1" xml:space="preserve"> F40 + RANDBETWEEN(350, 450) / 86400</f>
        <v>46025.592708333337</v>
      </c>
      <c r="H40" s="18">
        <f t="shared" ca="1" si="1"/>
        <v>7.08</v>
      </c>
      <c r="I40" s="3" t="s">
        <v>4</v>
      </c>
      <c r="J40" s="3" t="s">
        <v>7</v>
      </c>
      <c r="K40" s="3" t="s">
        <v>8</v>
      </c>
    </row>
    <row r="41" spans="1:11" x14ac:dyDescent="0.35">
      <c r="A41" s="3" t="s">
        <v>69</v>
      </c>
      <c r="B41" s="3" t="s">
        <v>45</v>
      </c>
      <c r="C41" s="4" t="str">
        <f>_xlfn.XLOOKUP(B41, Mapping!A:A, Mapping!B:B, "Not Found")</f>
        <v>ONLINE-TO-HIST-SYNC-EXCEPTIONS</v>
      </c>
      <c r="D41" s="6" t="s">
        <v>21</v>
      </c>
      <c r="E41" s="13">
        <f t="shared" ca="1" si="7"/>
        <v>46025.591793981483</v>
      </c>
      <c r="F41" s="13">
        <f ca="1">G39</f>
        <v>46025.591793981483</v>
      </c>
      <c r="G41" s="13">
        <f ca="1" xml:space="preserve"> F41 + RANDBETWEEN(410, 710) / 86400</f>
        <v>46025.597638888888</v>
      </c>
      <c r="H41" s="18">
        <f t="shared" ca="1" si="1"/>
        <v>8.24</v>
      </c>
      <c r="I41" s="3" t="s">
        <v>4</v>
      </c>
      <c r="J41" s="3" t="s">
        <v>7</v>
      </c>
      <c r="K41" s="3" t="s">
        <v>8</v>
      </c>
    </row>
    <row r="42" spans="1:11" x14ac:dyDescent="0.35">
      <c r="A42" s="3" t="s">
        <v>70</v>
      </c>
      <c r="B42" s="3" t="s">
        <v>46</v>
      </c>
      <c r="C42" s="4" t="str">
        <f>_xlfn.XLOOKUP(B42, Mapping!A:A, Mapping!B:B, "Not Found")</f>
        <v>LOANIQ-PAST-DUE-DATA</v>
      </c>
      <c r="D42" s="6" t="s">
        <v>21</v>
      </c>
      <c r="E42" s="13">
        <f t="shared" ca="1" si="7"/>
        <v>46025.592708333337</v>
      </c>
      <c r="F42" s="13">
        <f ca="1">G40</f>
        <v>46025.592708333337</v>
      </c>
      <c r="G42" s="13">
        <f ca="1" xml:space="preserve"> F42 + RANDBETWEEN(350, 650) / 86400</f>
        <v>46025.59888888889</v>
      </c>
      <c r="H42" s="18">
        <f t="shared" ca="1" si="1"/>
        <v>8.5299999999999994</v>
      </c>
      <c r="I42" s="3" t="s">
        <v>4</v>
      </c>
      <c r="J42" s="3" t="s">
        <v>7</v>
      </c>
      <c r="K42" s="3" t="s">
        <v>8</v>
      </c>
    </row>
    <row r="43" spans="1:11" x14ac:dyDescent="0.35">
      <c r="A43" s="3" t="s">
        <v>71</v>
      </c>
      <c r="B43" s="3" t="s">
        <v>47</v>
      </c>
      <c r="C43" s="4" t="str">
        <f>_xlfn.XLOOKUP(B43, Mapping!A:A, Mapping!B:B, "Not Found")</f>
        <v>APMS-LL-AWS-S3-UPLOAD</v>
      </c>
      <c r="D43" s="6" t="s">
        <v>21</v>
      </c>
      <c r="E43" s="13">
        <f t="shared" ca="1" si="7"/>
        <v>46025.597638888888</v>
      </c>
      <c r="F43" s="13">
        <f ca="1">G41</f>
        <v>46025.597638888888</v>
      </c>
      <c r="G43" s="13">
        <f ca="1" xml:space="preserve"> F43 + RANDBETWEEN(250, 450) / 86400</f>
        <v>46025.602152777778</v>
      </c>
      <c r="H43" s="18">
        <f t="shared" ca="1" si="1"/>
        <v>6.3</v>
      </c>
      <c r="I43" s="3" t="s">
        <v>4</v>
      </c>
      <c r="J43" s="3" t="s">
        <v>7</v>
      </c>
      <c r="K43" s="3" t="s">
        <v>8</v>
      </c>
    </row>
    <row r="44" spans="1:11" x14ac:dyDescent="0.35">
      <c r="A44" s="3" t="s">
        <v>72</v>
      </c>
      <c r="B44" s="3" t="s">
        <v>48</v>
      </c>
      <c r="C44" s="4" t="str">
        <f>_xlfn.XLOOKUP(B44, Mapping!A:A, Mapping!B:B, "Not Found")</f>
        <v>AR-ML-LS2-TRIGGER</v>
      </c>
      <c r="D44" s="6" t="s">
        <v>21</v>
      </c>
      <c r="E44" s="13">
        <f t="shared" ca="1" si="7"/>
        <v>46025.59888888889</v>
      </c>
      <c r="F44" s="13">
        <f ca="1">G42</f>
        <v>46025.59888888889</v>
      </c>
      <c r="G44" s="13">
        <f ca="1" xml:space="preserve"> F44 + RANDBETWEEN(250, 450) / 86400</f>
        <v>46025.602951388886</v>
      </c>
      <c r="H44" s="18">
        <f t="shared" ca="1" si="1"/>
        <v>5.5</v>
      </c>
      <c r="I44" s="3" t="s">
        <v>4</v>
      </c>
      <c r="J44" s="3" t="s">
        <v>7</v>
      </c>
      <c r="K44" s="3" t="s">
        <v>8</v>
      </c>
    </row>
    <row r="45" spans="1:11" x14ac:dyDescent="0.35">
      <c r="A45" s="3" t="s">
        <v>73</v>
      </c>
      <c r="B45" s="3" t="s">
        <v>50</v>
      </c>
      <c r="C45" s="4" t="str">
        <f>_xlfn.XLOOKUP(B45, Mapping!A:A, Mapping!B:B, "Not Found")</f>
        <v>NEW-LOANIQ-COLLATERAL-MIG</v>
      </c>
      <c r="D45" s="6" t="s">
        <v>21</v>
      </c>
      <c r="E45" s="13">
        <f t="shared" ca="1" si="7"/>
        <v>46025.602951388886</v>
      </c>
      <c r="F45" s="13">
        <f ca="1">G44</f>
        <v>46025.602951388886</v>
      </c>
      <c r="G45" s="13">
        <f ca="1" xml:space="preserve"> F45 + RANDBETWEEN(250, 450) / 86400</f>
        <v>46025.607928240737</v>
      </c>
      <c r="H45" s="18">
        <f t="shared" ca="1" si="1"/>
        <v>7.09</v>
      </c>
      <c r="I45" s="3" t="s">
        <v>4</v>
      </c>
      <c r="J45" s="3" t="s">
        <v>7</v>
      </c>
      <c r="K45" s="3" t="s">
        <v>8</v>
      </c>
    </row>
    <row r="46" spans="1:11" x14ac:dyDescent="0.35">
      <c r="A46" s="3" t="s">
        <v>74</v>
      </c>
      <c r="B46" s="3" t="s">
        <v>49</v>
      </c>
      <c r="C46" s="4" t="str">
        <f>_xlfn.XLOOKUP(B46, Mapping!A:A, Mapping!B:B, "Not Found")</f>
        <v>LS2H-DAILY-PREP</v>
      </c>
      <c r="D46" s="6" t="s">
        <v>21</v>
      </c>
      <c r="E46" s="13">
        <f t="shared" ca="1" si="7"/>
        <v>46025.607928240737</v>
      </c>
      <c r="F46" s="13">
        <f ca="1">IF(G43 &gt; G45, G43, G45)</f>
        <v>46025.607928240737</v>
      </c>
      <c r="G46" s="13">
        <f ca="1" xml:space="preserve"> F46 + RANDBETWEEN(150, 350) / 86400</f>
        <v>46025.610243055555</v>
      </c>
      <c r="H46" s="18">
        <f t="shared" ca="1" si="1"/>
        <v>3.2</v>
      </c>
      <c r="I46" s="3" t="s">
        <v>4</v>
      </c>
      <c r="J46" s="3" t="s">
        <v>7</v>
      </c>
      <c r="K46" s="3" t="s">
        <v>8</v>
      </c>
    </row>
    <row r="47" spans="1:11" x14ac:dyDescent="0.35">
      <c r="A47" s="3" t="s">
        <v>84</v>
      </c>
      <c r="B47" s="3" t="s">
        <v>75</v>
      </c>
      <c r="C47" s="4" t="str">
        <f>_xlfn.XLOOKUP(B47, Mapping!A:A, Mapping!B:B, "Not Found")</f>
        <v>NEW-BB-FUNDING-RATES-DOWNLOAD</v>
      </c>
      <c r="D47" s="3" t="s">
        <v>19</v>
      </c>
      <c r="E47" s="13">
        <f>D8 + JobGroupExecutionsOLD!C8</f>
        <v>46024.875</v>
      </c>
      <c r="F47" s="13">
        <f>IF(E8 &gt; ResourceAvailabilityEvents!E5, E8, ResourceAvailabilityEvents!E5)</f>
        <v>46023.875</v>
      </c>
      <c r="G47" s="13">
        <f ca="1" xml:space="preserve"> F47 + RANDBETWEEN(250, 450) / 86400</f>
        <v>46023.878275462965</v>
      </c>
      <c r="H47" s="18">
        <f t="shared" ca="1" si="1"/>
        <v>4.43</v>
      </c>
      <c r="I47" s="3" t="s">
        <v>4</v>
      </c>
      <c r="J47" s="3" t="s">
        <v>7</v>
      </c>
      <c r="K47" s="3" t="s">
        <v>8</v>
      </c>
    </row>
    <row r="48" spans="1:11" x14ac:dyDescent="0.35">
      <c r="A48" s="3" t="s">
        <v>85</v>
      </c>
      <c r="B48" s="3" t="s">
        <v>76</v>
      </c>
      <c r="C48" s="4" t="str">
        <f>_xlfn.XLOOKUP(B48, Mapping!A:A, Mapping!B:B, "Not Found")</f>
        <v>AR-ML-LS2-TRIGGER</v>
      </c>
      <c r="D48" s="3" t="s">
        <v>19</v>
      </c>
      <c r="E48" s="13">
        <f ca="1">F48</f>
        <v>46023.878275462965</v>
      </c>
      <c r="F48" s="13">
        <f ca="1">G47</f>
        <v>46023.878275462965</v>
      </c>
      <c r="G48" s="13">
        <f t="shared" ref="G48:G73" ca="1" si="8" xml:space="preserve"> F48 + RANDBETWEEN(150, 350) / 86400</f>
        <v>46023.882210648153</v>
      </c>
      <c r="H48" s="18">
        <f t="shared" ca="1" si="1"/>
        <v>5.4</v>
      </c>
      <c r="I48" s="3" t="s">
        <v>4</v>
      </c>
      <c r="J48" s="3" t="s">
        <v>7</v>
      </c>
      <c r="K48" s="3" t="s">
        <v>8</v>
      </c>
    </row>
    <row r="49" spans="1:11" x14ac:dyDescent="0.35">
      <c r="A49" s="3" t="s">
        <v>86</v>
      </c>
      <c r="B49" s="3" t="s">
        <v>77</v>
      </c>
      <c r="C49" s="4" t="str">
        <f>_xlfn.XLOOKUP(B49, Mapping!A:A, Mapping!B:B, "Not Found")</f>
        <v>CODE-DESC</v>
      </c>
      <c r="D49" s="3" t="s">
        <v>19</v>
      </c>
      <c r="E49" s="13">
        <f t="shared" ref="E49:E55" ca="1" si="9">F49</f>
        <v>46023.878275462965</v>
      </c>
      <c r="F49" s="13">
        <f ca="1">G47</f>
        <v>46023.878275462965</v>
      </c>
      <c r="G49" s="13">
        <f ca="1" xml:space="preserve"> F49 + RANDBETWEEN(300, 500) / 86400</f>
        <v>46023.88212962963</v>
      </c>
      <c r="H49" s="18">
        <f t="shared" ca="1" si="1"/>
        <v>5.32</v>
      </c>
      <c r="I49" s="3" t="s">
        <v>4</v>
      </c>
      <c r="J49" s="3" t="s">
        <v>7</v>
      </c>
      <c r="K49" s="3" t="s">
        <v>8</v>
      </c>
    </row>
    <row r="50" spans="1:11" x14ac:dyDescent="0.35">
      <c r="A50" s="3" t="s">
        <v>87</v>
      </c>
      <c r="B50" s="3" t="s">
        <v>78</v>
      </c>
      <c r="C50" s="4" t="str">
        <f>_xlfn.XLOOKUP(B50, Mapping!A:A, Mapping!B:B, "Not Found")</f>
        <v>ONLINE-TO-HIST-SYNC-EXCEPTIONS</v>
      </c>
      <c r="D50" s="3" t="s">
        <v>19</v>
      </c>
      <c r="E50" s="13">
        <f ca="1">IF(G48 &gt; G49, G48, G49)</f>
        <v>46023.882210648153</v>
      </c>
      <c r="F50" s="13">
        <f ca="1">IF((IF(G48 &gt; G49, G48, G49)) &gt; ResourceAvailabilityEvents!D17, (IF(G48 &gt; G49, G48, G49)), ResourceAvailabilityEvents!D17)</f>
        <v>46023.882210648153</v>
      </c>
      <c r="G50" s="13">
        <f ca="1" xml:space="preserve"> F50 + RANDBETWEEN(450, 750) / 86400</f>
        <v>46023.889456018522</v>
      </c>
      <c r="H50" s="18">
        <f t="shared" ca="1" si="1"/>
        <v>10.25</v>
      </c>
      <c r="I50" s="3" t="s">
        <v>4</v>
      </c>
      <c r="J50" s="3" t="s">
        <v>7</v>
      </c>
      <c r="K50" s="3" t="s">
        <v>8</v>
      </c>
    </row>
    <row r="51" spans="1:11" x14ac:dyDescent="0.35">
      <c r="A51" s="3" t="s">
        <v>88</v>
      </c>
      <c r="B51" s="3" t="s">
        <v>79</v>
      </c>
      <c r="C51" s="4" t="str">
        <f>_xlfn.XLOOKUP(B51, Mapping!A:A, Mapping!B:B, "Not Found")</f>
        <v>LOANIQ-PAST-DUE-DATA</v>
      </c>
      <c r="D51" s="3" t="s">
        <v>19</v>
      </c>
      <c r="E51" s="13">
        <f t="shared" ca="1" si="9"/>
        <v>46023.889456018522</v>
      </c>
      <c r="F51" s="13">
        <f ca="1">G50</f>
        <v>46023.889456018522</v>
      </c>
      <c r="G51" s="13">
        <f ca="1" xml:space="preserve"> F51 + RANDBETWEEN(450, 750) / 86400</f>
        <v>46023.896192129636</v>
      </c>
      <c r="H51" s="18">
        <f t="shared" ca="1" si="1"/>
        <v>9.42</v>
      </c>
      <c r="I51" s="3" t="s">
        <v>4</v>
      </c>
      <c r="J51" s="3" t="s">
        <v>7</v>
      </c>
      <c r="K51" s="3" t="s">
        <v>8</v>
      </c>
    </row>
    <row r="52" spans="1:11" x14ac:dyDescent="0.35">
      <c r="A52" s="3" t="s">
        <v>89</v>
      </c>
      <c r="B52" s="3" t="s">
        <v>80</v>
      </c>
      <c r="C52" s="4" t="str">
        <f>_xlfn.XLOOKUP(B52, Mapping!A:A, Mapping!B:B, "Not Found")</f>
        <v>AR-ML-LS2-TRIGGER</v>
      </c>
      <c r="D52" s="3" t="s">
        <v>19</v>
      </c>
      <c r="E52" s="13">
        <f t="shared" ca="1" si="9"/>
        <v>46023.896192129636</v>
      </c>
      <c r="F52" s="13">
        <f t="shared" ref="F52:F55" ca="1" si="10">G51</f>
        <v>46023.896192129636</v>
      </c>
      <c r="G52" s="13">
        <f ca="1" xml:space="preserve"> F52 + RANDBETWEEN(200, 400) / 86400</f>
        <v>46023.899062500008</v>
      </c>
      <c r="H52" s="18">
        <f t="shared" ca="1" si="1"/>
        <v>4.08</v>
      </c>
      <c r="I52" s="3" t="s">
        <v>4</v>
      </c>
      <c r="J52" s="3" t="s">
        <v>7</v>
      </c>
      <c r="K52" s="3" t="s">
        <v>8</v>
      </c>
    </row>
    <row r="53" spans="1:11" x14ac:dyDescent="0.35">
      <c r="A53" s="3" t="s">
        <v>90</v>
      </c>
      <c r="B53" s="3" t="s">
        <v>81</v>
      </c>
      <c r="C53" s="4" t="str">
        <f>_xlfn.XLOOKUP(B53, Mapping!A:A, Mapping!B:B, "Not Found")</f>
        <v>APMS-LL-AWS-S3-UPLOAD</v>
      </c>
      <c r="D53" s="3" t="s">
        <v>19</v>
      </c>
      <c r="E53" s="13">
        <f t="shared" ca="1" si="9"/>
        <v>46023.899062500008</v>
      </c>
      <c r="F53" s="13">
        <f t="shared" ca="1" si="10"/>
        <v>46023.899062500008</v>
      </c>
      <c r="G53" s="13">
        <f ca="1" xml:space="preserve"> F53 + RANDBETWEEN(200, 400) / 86400</f>
        <v>46023.901423611118</v>
      </c>
      <c r="H53" s="18">
        <f t="shared" ca="1" si="1"/>
        <v>3.23</v>
      </c>
      <c r="I53" s="3" t="s">
        <v>4</v>
      </c>
      <c r="J53" s="3" t="s">
        <v>7</v>
      </c>
      <c r="K53" s="3" t="s">
        <v>8</v>
      </c>
    </row>
    <row r="54" spans="1:11" x14ac:dyDescent="0.35">
      <c r="A54" s="3" t="s">
        <v>91</v>
      </c>
      <c r="B54" s="3" t="s">
        <v>82</v>
      </c>
      <c r="C54" s="4" t="str">
        <f>_xlfn.XLOOKUP(B54, Mapping!A:A, Mapping!B:B, "Not Found")</f>
        <v>NEW-LOANIQ-COLLATERAL-MIG</v>
      </c>
      <c r="D54" s="3" t="s">
        <v>19</v>
      </c>
      <c r="E54" s="13">
        <f t="shared" ca="1" si="9"/>
        <v>46023.901423611118</v>
      </c>
      <c r="F54" s="13">
        <f t="shared" ca="1" si="10"/>
        <v>46023.901423611118</v>
      </c>
      <c r="G54" s="13">
        <f ca="1" xml:space="preserve"> F54 + RANDBETWEEN(250, 450) / 86400</f>
        <v>46023.906157407415</v>
      </c>
      <c r="H54" s="18">
        <f t="shared" ca="1" si="1"/>
        <v>6.49</v>
      </c>
      <c r="I54" s="3" t="s">
        <v>4</v>
      </c>
      <c r="J54" s="3" t="s">
        <v>7</v>
      </c>
      <c r="K54" s="3" t="s">
        <v>8</v>
      </c>
    </row>
    <row r="55" spans="1:11" x14ac:dyDescent="0.35">
      <c r="A55" s="3" t="s">
        <v>92</v>
      </c>
      <c r="B55" s="3" t="s">
        <v>83</v>
      </c>
      <c r="C55" s="4" t="str">
        <f>_xlfn.XLOOKUP(B55, Mapping!A:A, Mapping!B:B, "Not Found")</f>
        <v>LS2H-DAILY-PREP</v>
      </c>
      <c r="D55" s="3" t="s">
        <v>19</v>
      </c>
      <c r="E55" s="13">
        <f t="shared" ca="1" si="9"/>
        <v>46023.906157407415</v>
      </c>
      <c r="F55" s="13">
        <f t="shared" ca="1" si="10"/>
        <v>46023.906157407415</v>
      </c>
      <c r="G55" s="13">
        <f t="shared" ca="1" si="8"/>
        <v>46023.909826388895</v>
      </c>
      <c r="H55" s="18">
        <f t="shared" ca="1" si="1"/>
        <v>5.16</v>
      </c>
      <c r="I55" s="3" t="s">
        <v>4</v>
      </c>
      <c r="J55" s="3" t="s">
        <v>7</v>
      </c>
      <c r="K55" s="3" t="s">
        <v>8</v>
      </c>
    </row>
    <row r="56" spans="1:11" x14ac:dyDescent="0.35">
      <c r="A56" s="3" t="s">
        <v>93</v>
      </c>
      <c r="B56" s="3" t="s">
        <v>75</v>
      </c>
      <c r="C56" s="4" t="str">
        <f>_xlfn.XLOOKUP(B56, Mapping!A:A, Mapping!B:B, "Not Found")</f>
        <v>NEW-BB-FUNDING-RATES-DOWNLOAD</v>
      </c>
      <c r="D56" s="3" t="s">
        <v>20</v>
      </c>
      <c r="E56" s="13">
        <f>D9 + JobGroupExecutionsOLD!C9</f>
        <v>46024.875</v>
      </c>
      <c r="F56" s="13">
        <f ca="1">IF(E9 &gt; ResourceAvailabilityEvents!E6, E9, ResourceAvailabilityEvents!E6)</f>
        <v>46024.875</v>
      </c>
      <c r="G56" s="13">
        <f ca="1" xml:space="preserve"> F56 + RANDBETWEEN(250, 450) / 86400</f>
        <v>46024.879050925927</v>
      </c>
      <c r="H56" s="18">
        <f t="shared" ca="1" si="1"/>
        <v>5.5</v>
      </c>
      <c r="I56" s="3" t="s">
        <v>4</v>
      </c>
      <c r="J56" s="3" t="s">
        <v>7</v>
      </c>
      <c r="K56" s="3" t="s">
        <v>8</v>
      </c>
    </row>
    <row r="57" spans="1:11" x14ac:dyDescent="0.35">
      <c r="A57" s="3" t="s">
        <v>94</v>
      </c>
      <c r="B57" s="3" t="s">
        <v>76</v>
      </c>
      <c r="C57" s="4" t="str">
        <f>_xlfn.XLOOKUP(B57, Mapping!A:A, Mapping!B:B, "Not Found")</f>
        <v>AR-ML-LS2-TRIGGER</v>
      </c>
      <c r="D57" s="3" t="s">
        <v>20</v>
      </c>
      <c r="E57" s="13">
        <f ca="1">F57</f>
        <v>46024.879050925927</v>
      </c>
      <c r="F57" s="13">
        <f ca="1">G56</f>
        <v>46024.879050925927</v>
      </c>
      <c r="G57" s="13">
        <f t="shared" ca="1" si="8"/>
        <v>46024.881388888891</v>
      </c>
      <c r="H57" s="18">
        <f t="shared" ca="1" si="1"/>
        <v>3.22</v>
      </c>
      <c r="I57" s="3" t="s">
        <v>4</v>
      </c>
      <c r="J57" s="3" t="s">
        <v>7</v>
      </c>
      <c r="K57" s="3" t="s">
        <v>8</v>
      </c>
    </row>
    <row r="58" spans="1:11" x14ac:dyDescent="0.35">
      <c r="A58" s="3" t="s">
        <v>95</v>
      </c>
      <c r="B58" s="3" t="s">
        <v>77</v>
      </c>
      <c r="C58" s="4" t="str">
        <f>_xlfn.XLOOKUP(B58, Mapping!A:A, Mapping!B:B, "Not Found")</f>
        <v>CODE-DESC</v>
      </c>
      <c r="D58" s="3" t="s">
        <v>20</v>
      </c>
      <c r="E58" s="13">
        <f t="shared" ref="E58:E64" ca="1" si="11">F58</f>
        <v>46024.879050925927</v>
      </c>
      <c r="F58" s="13">
        <f ca="1">G56</f>
        <v>46024.879050925927</v>
      </c>
      <c r="G58" s="13">
        <f ca="1" xml:space="preserve"> F58 + RANDBETWEEN(300, 500) / 86400</f>
        <v>46024.883414351854</v>
      </c>
      <c r="H58" s="18">
        <f t="shared" ca="1" si="1"/>
        <v>6.17</v>
      </c>
      <c r="I58" s="3" t="s">
        <v>4</v>
      </c>
      <c r="J58" s="3" t="s">
        <v>7</v>
      </c>
      <c r="K58" s="3" t="s">
        <v>8</v>
      </c>
    </row>
    <row r="59" spans="1:11" x14ac:dyDescent="0.35">
      <c r="A59" s="3" t="s">
        <v>96</v>
      </c>
      <c r="B59" s="3" t="s">
        <v>78</v>
      </c>
      <c r="C59" s="4" t="str">
        <f>_xlfn.XLOOKUP(B59, Mapping!A:A, Mapping!B:B, "Not Found")</f>
        <v>ONLINE-TO-HIST-SYNC-EXCEPTIONS</v>
      </c>
      <c r="D59" s="3" t="s">
        <v>20</v>
      </c>
      <c r="E59" s="13">
        <f ca="1">IF(G57 &gt; G58, G57, G58)</f>
        <v>46024.883414351854</v>
      </c>
      <c r="F59" s="13">
        <f ca="1">IF((IF(G57 &gt; G58, G57, G58)) &gt; ResourceAvailabilityEvents!D18, (IF(G57 &gt; G58, G57, G58)), ResourceAvailabilityEvents!D18)</f>
        <v>46024.883414351854</v>
      </c>
      <c r="G59" s="13">
        <f ca="1" xml:space="preserve"> F59 + RANDBETWEEN(450, 750) / 86400</f>
        <v>46024.891388888893</v>
      </c>
      <c r="H59" s="18">
        <f t="shared" ca="1" si="1"/>
        <v>11.29</v>
      </c>
      <c r="I59" s="3" t="s">
        <v>4</v>
      </c>
      <c r="J59" s="3" t="s">
        <v>7</v>
      </c>
      <c r="K59" s="3" t="s">
        <v>8</v>
      </c>
    </row>
    <row r="60" spans="1:11" x14ac:dyDescent="0.35">
      <c r="A60" s="3" t="s">
        <v>97</v>
      </c>
      <c r="B60" s="3" t="s">
        <v>79</v>
      </c>
      <c r="C60" s="4" t="str">
        <f>_xlfn.XLOOKUP(B60, Mapping!A:A, Mapping!B:B, "Not Found")</f>
        <v>LOANIQ-PAST-DUE-DATA</v>
      </c>
      <c r="D60" s="3" t="s">
        <v>20</v>
      </c>
      <c r="E60" s="13">
        <f t="shared" ca="1" si="11"/>
        <v>46024.891388888893</v>
      </c>
      <c r="F60" s="13">
        <f ca="1">G59</f>
        <v>46024.891388888893</v>
      </c>
      <c r="G60" s="13">
        <f ca="1" xml:space="preserve"> F60 + RANDBETWEEN(450, 750) / 86400</f>
        <v>46024.898703703708</v>
      </c>
      <c r="H60" s="18">
        <f t="shared" ca="1" si="1"/>
        <v>10.32</v>
      </c>
      <c r="I60" s="3" t="s">
        <v>4</v>
      </c>
      <c r="J60" s="3" t="s">
        <v>7</v>
      </c>
      <c r="K60" s="3" t="s">
        <v>8</v>
      </c>
    </row>
    <row r="61" spans="1:11" x14ac:dyDescent="0.35">
      <c r="A61" s="3" t="s">
        <v>98</v>
      </c>
      <c r="B61" s="3" t="s">
        <v>80</v>
      </c>
      <c r="C61" s="4" t="str">
        <f>_xlfn.XLOOKUP(B61, Mapping!A:A, Mapping!B:B, "Not Found")</f>
        <v>AR-ML-LS2-TRIGGER</v>
      </c>
      <c r="D61" s="3" t="s">
        <v>20</v>
      </c>
      <c r="E61" s="13">
        <f t="shared" ca="1" si="11"/>
        <v>46024.898703703708</v>
      </c>
      <c r="F61" s="13">
        <f t="shared" ref="F61:F64" ca="1" si="12">G60</f>
        <v>46024.898703703708</v>
      </c>
      <c r="G61" s="13">
        <f ca="1" xml:space="preserve"> F61 + RANDBETWEEN(200, 400) / 86400</f>
        <v>46024.901018518525</v>
      </c>
      <c r="H61" s="18">
        <f t="shared" ca="1" si="1"/>
        <v>3.2</v>
      </c>
      <c r="I61" s="3" t="s">
        <v>4</v>
      </c>
      <c r="J61" s="3" t="s">
        <v>7</v>
      </c>
      <c r="K61" s="3" t="s">
        <v>8</v>
      </c>
    </row>
    <row r="62" spans="1:11" x14ac:dyDescent="0.35">
      <c r="A62" s="3" t="s">
        <v>99</v>
      </c>
      <c r="B62" s="3" t="s">
        <v>81</v>
      </c>
      <c r="C62" s="4" t="str">
        <f>_xlfn.XLOOKUP(B62, Mapping!A:A, Mapping!B:B, "Not Found")</f>
        <v>APMS-LL-AWS-S3-UPLOAD</v>
      </c>
      <c r="D62" s="3" t="s">
        <v>20</v>
      </c>
      <c r="E62" s="13">
        <f t="shared" ca="1" si="11"/>
        <v>46024.901018518525</v>
      </c>
      <c r="F62" s="13">
        <f t="shared" ca="1" si="12"/>
        <v>46024.901018518525</v>
      </c>
      <c r="G62" s="13">
        <f ca="1" xml:space="preserve"> F62 + RANDBETWEEN(200, 400) / 86400</f>
        <v>46024.904907407414</v>
      </c>
      <c r="H62" s="18">
        <f t="shared" ca="1" si="1"/>
        <v>5.35</v>
      </c>
      <c r="I62" s="3" t="s">
        <v>4</v>
      </c>
      <c r="J62" s="3" t="s">
        <v>7</v>
      </c>
      <c r="K62" s="3" t="s">
        <v>8</v>
      </c>
    </row>
    <row r="63" spans="1:11" x14ac:dyDescent="0.35">
      <c r="A63" s="3" t="s">
        <v>100</v>
      </c>
      <c r="B63" s="3" t="s">
        <v>82</v>
      </c>
      <c r="C63" s="4" t="str">
        <f>_xlfn.XLOOKUP(B63, Mapping!A:A, Mapping!B:B, "Not Found")</f>
        <v>NEW-LOANIQ-COLLATERAL-MIG</v>
      </c>
      <c r="D63" s="3" t="s">
        <v>20</v>
      </c>
      <c r="E63" s="13">
        <f t="shared" ca="1" si="11"/>
        <v>46024.904907407414</v>
      </c>
      <c r="F63" s="13">
        <f t="shared" ca="1" si="12"/>
        <v>46024.904907407414</v>
      </c>
      <c r="G63" s="13">
        <f ca="1" xml:space="preserve"> F63 + RANDBETWEEN(250, 450) / 86400</f>
        <v>46024.908252314824</v>
      </c>
      <c r="H63" s="18">
        <f t="shared" ca="1" si="1"/>
        <v>4.49</v>
      </c>
      <c r="I63" s="3" t="s">
        <v>4</v>
      </c>
      <c r="J63" s="3" t="s">
        <v>7</v>
      </c>
      <c r="K63" s="3" t="s">
        <v>8</v>
      </c>
    </row>
    <row r="64" spans="1:11" x14ac:dyDescent="0.35">
      <c r="A64" s="3" t="s">
        <v>101</v>
      </c>
      <c r="B64" s="3" t="s">
        <v>83</v>
      </c>
      <c r="C64" s="4" t="str">
        <f>_xlfn.XLOOKUP(B64, Mapping!A:A, Mapping!B:B, "Not Found")</f>
        <v>LS2H-DAILY-PREP</v>
      </c>
      <c r="D64" s="3" t="s">
        <v>20</v>
      </c>
      <c r="E64" s="13">
        <f t="shared" ca="1" si="11"/>
        <v>46024.908252314824</v>
      </c>
      <c r="F64" s="13">
        <f t="shared" ca="1" si="12"/>
        <v>46024.908252314824</v>
      </c>
      <c r="G64" s="13">
        <f t="shared" ca="1" si="8"/>
        <v>46024.911134259266</v>
      </c>
      <c r="H64" s="18">
        <f t="shared" ca="1" si="1"/>
        <v>4.08</v>
      </c>
      <c r="I64" s="3" t="s">
        <v>4</v>
      </c>
      <c r="J64" s="3" t="s">
        <v>7</v>
      </c>
      <c r="K64" s="3" t="s">
        <v>8</v>
      </c>
    </row>
    <row r="65" spans="1:11" x14ac:dyDescent="0.35">
      <c r="A65" s="3" t="s">
        <v>102</v>
      </c>
      <c r="B65" s="3" t="s">
        <v>75</v>
      </c>
      <c r="C65" s="4" t="str">
        <f>_xlfn.XLOOKUP(B65, Mapping!A:A, Mapping!B:B, "Not Found")</f>
        <v>NEW-BB-FUNDING-RATES-DOWNLOAD</v>
      </c>
      <c r="D65" s="6" t="s">
        <v>21</v>
      </c>
      <c r="E65" s="13">
        <f>D10 + JobGroupExecutionsOLD!C10</f>
        <v>46024.875</v>
      </c>
      <c r="F65" s="13">
        <f ca="1">IF(E10 &gt; ResourceAvailabilityEvents!E7, E10, ResourceAvailabilityEvents!E7)</f>
        <v>46025.875</v>
      </c>
      <c r="G65" s="13">
        <f ca="1" xml:space="preserve"> F65 + RANDBETWEEN(250, 450) / 86400</f>
        <v>46025.879560185182</v>
      </c>
      <c r="H65" s="18">
        <f t="shared" ca="1" si="1"/>
        <v>6.33</v>
      </c>
      <c r="I65" s="3" t="s">
        <v>4</v>
      </c>
      <c r="J65" s="3" t="s">
        <v>7</v>
      </c>
      <c r="K65" s="3" t="s">
        <v>8</v>
      </c>
    </row>
    <row r="66" spans="1:11" x14ac:dyDescent="0.35">
      <c r="A66" s="3" t="s">
        <v>103</v>
      </c>
      <c r="B66" s="3" t="s">
        <v>76</v>
      </c>
      <c r="C66" s="4" t="str">
        <f>_xlfn.XLOOKUP(B66, Mapping!A:A, Mapping!B:B, "Not Found")</f>
        <v>AR-ML-LS2-TRIGGER</v>
      </c>
      <c r="D66" s="6" t="s">
        <v>21</v>
      </c>
      <c r="E66" s="13">
        <f ca="1">F66</f>
        <v>46025.879560185182</v>
      </c>
      <c r="F66" s="13">
        <f ca="1">G65</f>
        <v>46025.879560185182</v>
      </c>
      <c r="G66" s="13">
        <f t="shared" ca="1" si="8"/>
        <v>46025.883460648147</v>
      </c>
      <c r="H66" s="18">
        <f t="shared" ca="1" si="1"/>
        <v>5.37</v>
      </c>
      <c r="I66" s="3" t="s">
        <v>4</v>
      </c>
      <c r="J66" s="3" t="s">
        <v>7</v>
      </c>
      <c r="K66" s="3" t="s">
        <v>8</v>
      </c>
    </row>
    <row r="67" spans="1:11" x14ac:dyDescent="0.35">
      <c r="A67" s="3" t="s">
        <v>104</v>
      </c>
      <c r="B67" s="3" t="s">
        <v>77</v>
      </c>
      <c r="C67" s="4" t="str">
        <f>_xlfn.XLOOKUP(B67, Mapping!A:A, Mapping!B:B, "Not Found")</f>
        <v>CODE-DESC</v>
      </c>
      <c r="D67" s="6" t="s">
        <v>21</v>
      </c>
      <c r="E67" s="13">
        <f t="shared" ref="E67:E73" ca="1" si="13">F67</f>
        <v>46025.879560185182</v>
      </c>
      <c r="F67" s="13">
        <f ca="1">G65</f>
        <v>46025.879560185182</v>
      </c>
      <c r="G67" s="13">
        <f ca="1" xml:space="preserve"> F67 + RANDBETWEEN(300, 500) / 86400</f>
        <v>46025.883576388886</v>
      </c>
      <c r="H67" s="18">
        <f t="shared" ref="H67:H74" ca="1" si="14">INT((G67 - F67) * 86400/60) + MOD(INT((G67 - F67) * 86400),60)/100</f>
        <v>5.47</v>
      </c>
      <c r="I67" s="3" t="s">
        <v>4</v>
      </c>
      <c r="J67" s="3" t="s">
        <v>7</v>
      </c>
      <c r="K67" s="3" t="s">
        <v>8</v>
      </c>
    </row>
    <row r="68" spans="1:11" x14ac:dyDescent="0.35">
      <c r="A68" s="3" t="s">
        <v>105</v>
      </c>
      <c r="B68" s="3" t="s">
        <v>78</v>
      </c>
      <c r="C68" s="4" t="str">
        <f>_xlfn.XLOOKUP(B68, Mapping!A:A, Mapping!B:B, "Not Found")</f>
        <v>ONLINE-TO-HIST-SYNC-EXCEPTIONS</v>
      </c>
      <c r="D68" s="6" t="s">
        <v>21</v>
      </c>
      <c r="E68" s="13">
        <f ca="1">IF(G66 &gt; G67, G66, G67)</f>
        <v>46025.883576388886</v>
      </c>
      <c r="F68" s="13">
        <f ca="1">IF((IF(G66 &gt; G67, G66, G67)) &gt; ResourceAvailabilityEvents!D19, (IF(G66 &gt; G67, G66, G67)), ResourceAvailabilityEvents!D19)</f>
        <v>46025.883576388886</v>
      </c>
      <c r="G68" s="13">
        <f ca="1" xml:space="preserve"> F68 + RANDBETWEEN(450, 750) / 86400</f>
        <v>46025.888969907406</v>
      </c>
      <c r="H68" s="18">
        <f t="shared" ca="1" si="14"/>
        <v>7.46</v>
      </c>
      <c r="I68" s="3" t="s">
        <v>4</v>
      </c>
      <c r="J68" s="3" t="s">
        <v>7</v>
      </c>
      <c r="K68" s="3" t="s">
        <v>8</v>
      </c>
    </row>
    <row r="69" spans="1:11" x14ac:dyDescent="0.35">
      <c r="A69" s="3" t="s">
        <v>106</v>
      </c>
      <c r="B69" s="3" t="s">
        <v>79</v>
      </c>
      <c r="C69" s="4" t="str">
        <f>_xlfn.XLOOKUP(B69, Mapping!A:A, Mapping!B:B, "Not Found")</f>
        <v>LOANIQ-PAST-DUE-DATA</v>
      </c>
      <c r="D69" s="6" t="s">
        <v>21</v>
      </c>
      <c r="E69" s="13">
        <f t="shared" ca="1" si="13"/>
        <v>46025.888969907406</v>
      </c>
      <c r="F69" s="13">
        <f ca="1">G68</f>
        <v>46025.888969907406</v>
      </c>
      <c r="G69" s="13">
        <f ca="1" xml:space="preserve"> F69 + RANDBETWEEN(450, 750) / 86400</f>
        <v>46025.895439814813</v>
      </c>
      <c r="H69" s="18">
        <f t="shared" ca="1" si="14"/>
        <v>9.18</v>
      </c>
      <c r="I69" s="3" t="s">
        <v>4</v>
      </c>
      <c r="J69" s="3" t="s">
        <v>7</v>
      </c>
      <c r="K69" s="3" t="s">
        <v>8</v>
      </c>
    </row>
    <row r="70" spans="1:11" x14ac:dyDescent="0.35">
      <c r="A70" s="3" t="s">
        <v>107</v>
      </c>
      <c r="B70" s="3" t="s">
        <v>80</v>
      </c>
      <c r="C70" s="4" t="str">
        <f>_xlfn.XLOOKUP(B70, Mapping!A:A, Mapping!B:B, "Not Found")</f>
        <v>AR-ML-LS2-TRIGGER</v>
      </c>
      <c r="D70" s="6" t="s">
        <v>21</v>
      </c>
      <c r="E70" s="13">
        <f t="shared" ca="1" si="13"/>
        <v>46025.895439814813</v>
      </c>
      <c r="F70" s="13">
        <f t="shared" ref="F70:F73" ca="1" si="15">G69</f>
        <v>46025.895439814813</v>
      </c>
      <c r="G70" s="13">
        <f ca="1" xml:space="preserve"> F70 + RANDBETWEEN(200, 400) / 86400</f>
        <v>46025.899988425925</v>
      </c>
      <c r="H70" s="18">
        <f t="shared" ca="1" si="14"/>
        <v>6.33</v>
      </c>
      <c r="I70" s="3" t="s">
        <v>4</v>
      </c>
      <c r="J70" s="3" t="s">
        <v>7</v>
      </c>
      <c r="K70" s="3" t="s">
        <v>8</v>
      </c>
    </row>
    <row r="71" spans="1:11" x14ac:dyDescent="0.35">
      <c r="A71" s="3" t="s">
        <v>108</v>
      </c>
      <c r="B71" s="3" t="s">
        <v>81</v>
      </c>
      <c r="C71" s="4" t="str">
        <f>_xlfn.XLOOKUP(B71, Mapping!A:A, Mapping!B:B, "Not Found")</f>
        <v>APMS-LL-AWS-S3-UPLOAD</v>
      </c>
      <c r="D71" s="6" t="s">
        <v>21</v>
      </c>
      <c r="E71" s="13">
        <f t="shared" ca="1" si="13"/>
        <v>46025.899988425925</v>
      </c>
      <c r="F71" s="13">
        <f t="shared" ca="1" si="15"/>
        <v>46025.899988425925</v>
      </c>
      <c r="G71" s="13">
        <f ca="1" xml:space="preserve"> F71 + RANDBETWEEN(200, 400) / 86400</f>
        <v>46025.902997685182</v>
      </c>
      <c r="H71" s="18">
        <f t="shared" ca="1" si="14"/>
        <v>4.1900000000000004</v>
      </c>
      <c r="I71" s="3" t="s">
        <v>4</v>
      </c>
      <c r="J71" s="3" t="s">
        <v>7</v>
      </c>
      <c r="K71" s="3" t="s">
        <v>8</v>
      </c>
    </row>
    <row r="72" spans="1:11" x14ac:dyDescent="0.35">
      <c r="A72" s="3" t="s">
        <v>109</v>
      </c>
      <c r="B72" s="3" t="s">
        <v>82</v>
      </c>
      <c r="C72" s="4" t="str">
        <f>_xlfn.XLOOKUP(B72, Mapping!A:A, Mapping!B:B, "Not Found")</f>
        <v>NEW-LOANIQ-COLLATERAL-MIG</v>
      </c>
      <c r="D72" s="6" t="s">
        <v>21</v>
      </c>
      <c r="E72" s="13">
        <f t="shared" ca="1" si="13"/>
        <v>46025.902997685182</v>
      </c>
      <c r="F72" s="13">
        <f t="shared" ca="1" si="15"/>
        <v>46025.902997685182</v>
      </c>
      <c r="G72" s="13">
        <f ca="1" xml:space="preserve"> F72 + RANDBETWEEN(250, 450) / 86400</f>
        <v>46025.90693287037</v>
      </c>
      <c r="H72" s="18">
        <f t="shared" ca="1" si="14"/>
        <v>5.4</v>
      </c>
      <c r="I72" s="3" t="s">
        <v>4</v>
      </c>
      <c r="J72" s="3" t="s">
        <v>7</v>
      </c>
      <c r="K72" s="3" t="s">
        <v>8</v>
      </c>
    </row>
    <row r="73" spans="1:11" x14ac:dyDescent="0.35">
      <c r="A73" s="3" t="s">
        <v>110</v>
      </c>
      <c r="B73" s="3" t="s">
        <v>83</v>
      </c>
      <c r="C73" s="4" t="str">
        <f>_xlfn.XLOOKUP(B73, Mapping!A:A, Mapping!B:B, "Not Found")</f>
        <v>LS2H-DAILY-PREP</v>
      </c>
      <c r="D73" s="6" t="s">
        <v>21</v>
      </c>
      <c r="E73" s="13">
        <f t="shared" ca="1" si="13"/>
        <v>46025.90693287037</v>
      </c>
      <c r="F73" s="13">
        <f t="shared" ca="1" si="15"/>
        <v>46025.90693287037</v>
      </c>
      <c r="G73" s="13">
        <f t="shared" ca="1" si="8"/>
        <v>46025.910844907405</v>
      </c>
      <c r="H73" s="18">
        <f t="shared" ca="1" si="14"/>
        <v>5.37</v>
      </c>
      <c r="I73" s="3" t="s">
        <v>4</v>
      </c>
      <c r="J73" s="3" t="s">
        <v>7</v>
      </c>
      <c r="K73" s="3" t="s">
        <v>8</v>
      </c>
    </row>
    <row r="74" spans="1:11" x14ac:dyDescent="0.35">
      <c r="A74" s="3" t="s">
        <v>160</v>
      </c>
      <c r="B74" s="3" t="s">
        <v>151</v>
      </c>
      <c r="C74" s="3" t="s">
        <v>161</v>
      </c>
      <c r="D74" s="3" t="s">
        <v>19</v>
      </c>
      <c r="E74" s="13">
        <v>46023.882060185184</v>
      </c>
      <c r="F74" s="13">
        <v>46023.882060185184</v>
      </c>
      <c r="G74" s="13">
        <v>46023.882071759261</v>
      </c>
      <c r="H74" s="18">
        <f t="shared" si="14"/>
        <v>0.01</v>
      </c>
      <c r="I74" s="3" t="s">
        <v>4</v>
      </c>
      <c r="J74" s="3">
        <v>0</v>
      </c>
      <c r="K74" s="3" t="s">
        <v>8</v>
      </c>
    </row>
  </sheetData>
  <phoneticPr fontId="2" type="noConversion"/>
  <pageMargins left="0.75" right="0.75" top="1" bottom="1" header="0.5" footer="0.5"/>
  <ignoredErrors>
    <ignoredError sqref="J2:J5" numberStoredAsText="1"/>
    <ignoredError sqref="G49 G46:G47 G55 G64:G6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004A-CAAF-4F9A-A882-FDE5BA3CBCD0}">
  <dimension ref="A1:B29"/>
  <sheetViews>
    <sheetView workbookViewId="0">
      <selection activeCell="B9" sqref="B9"/>
    </sheetView>
  </sheetViews>
  <sheetFormatPr defaultRowHeight="14.5" x14ac:dyDescent="0.35"/>
  <cols>
    <col min="1" max="1" width="16.36328125" customWidth="1"/>
    <col min="2" max="2" width="33.54296875" bestFit="1" customWidth="1"/>
  </cols>
  <sheetData>
    <row r="1" spans="1:2" x14ac:dyDescent="0.35">
      <c r="A1" s="1" t="s">
        <v>11</v>
      </c>
      <c r="B1" s="1" t="s">
        <v>159</v>
      </c>
    </row>
    <row r="2" spans="1:2" x14ac:dyDescent="0.35">
      <c r="A2" t="s">
        <v>83</v>
      </c>
      <c r="B2" t="s">
        <v>143</v>
      </c>
    </row>
    <row r="3" spans="1:2" x14ac:dyDescent="0.35">
      <c r="A3" t="s">
        <v>76</v>
      </c>
      <c r="B3" t="s">
        <v>144</v>
      </c>
    </row>
    <row r="4" spans="1:2" x14ac:dyDescent="0.35">
      <c r="A4" t="s">
        <v>77</v>
      </c>
      <c r="B4" t="s">
        <v>145</v>
      </c>
    </row>
    <row r="5" spans="1:2" x14ac:dyDescent="0.35">
      <c r="A5" t="s">
        <v>78</v>
      </c>
      <c r="B5" t="s">
        <v>146</v>
      </c>
    </row>
    <row r="6" spans="1:2" x14ac:dyDescent="0.35">
      <c r="A6" t="s">
        <v>79</v>
      </c>
      <c r="B6" t="s">
        <v>147</v>
      </c>
    </row>
    <row r="7" spans="1:2" x14ac:dyDescent="0.35">
      <c r="A7" t="s">
        <v>80</v>
      </c>
      <c r="B7" t="s">
        <v>144</v>
      </c>
    </row>
    <row r="8" spans="1:2" x14ac:dyDescent="0.35">
      <c r="A8" t="s">
        <v>81</v>
      </c>
      <c r="B8" t="s">
        <v>148</v>
      </c>
    </row>
    <row r="9" spans="1:2" x14ac:dyDescent="0.35">
      <c r="A9" t="s">
        <v>75</v>
      </c>
      <c r="B9" t="s">
        <v>149</v>
      </c>
    </row>
    <row r="10" spans="1:2" x14ac:dyDescent="0.35">
      <c r="A10" t="s">
        <v>82</v>
      </c>
      <c r="B10" t="s">
        <v>150</v>
      </c>
    </row>
    <row r="11" spans="1:2" x14ac:dyDescent="0.35">
      <c r="A11" t="s">
        <v>49</v>
      </c>
      <c r="B11" t="s">
        <v>143</v>
      </c>
    </row>
    <row r="12" spans="1:2" x14ac:dyDescent="0.35">
      <c r="A12" t="s">
        <v>43</v>
      </c>
      <c r="B12" t="s">
        <v>144</v>
      </c>
    </row>
    <row r="13" spans="1:2" x14ac:dyDescent="0.35">
      <c r="A13" t="s">
        <v>44</v>
      </c>
      <c r="B13" t="s">
        <v>145</v>
      </c>
    </row>
    <row r="14" spans="1:2" x14ac:dyDescent="0.35">
      <c r="A14" t="s">
        <v>45</v>
      </c>
      <c r="B14" t="s">
        <v>146</v>
      </c>
    </row>
    <row r="15" spans="1:2" x14ac:dyDescent="0.35">
      <c r="A15" t="s">
        <v>46</v>
      </c>
      <c r="B15" t="s">
        <v>147</v>
      </c>
    </row>
    <row r="16" spans="1:2" x14ac:dyDescent="0.35">
      <c r="A16" t="s">
        <v>48</v>
      </c>
      <c r="B16" t="s">
        <v>144</v>
      </c>
    </row>
    <row r="17" spans="1:2" x14ac:dyDescent="0.35">
      <c r="A17" t="s">
        <v>47</v>
      </c>
      <c r="B17" t="s">
        <v>148</v>
      </c>
    </row>
    <row r="18" spans="1:2" x14ac:dyDescent="0.35">
      <c r="A18" t="s">
        <v>42</v>
      </c>
      <c r="B18" t="s">
        <v>149</v>
      </c>
    </row>
    <row r="19" spans="1:2" x14ac:dyDescent="0.35">
      <c r="A19" t="s">
        <v>50</v>
      </c>
      <c r="B19" t="s">
        <v>150</v>
      </c>
    </row>
    <row r="20" spans="1:2" x14ac:dyDescent="0.35">
      <c r="A20" t="s">
        <v>22</v>
      </c>
      <c r="B20" t="s">
        <v>144</v>
      </c>
    </row>
    <row r="21" spans="1:2" x14ac:dyDescent="0.35">
      <c r="A21" t="s">
        <v>23</v>
      </c>
      <c r="B21" t="s">
        <v>145</v>
      </c>
    </row>
    <row r="22" spans="1:2" x14ac:dyDescent="0.35">
      <c r="A22" t="s">
        <v>24</v>
      </c>
      <c r="B22" t="s">
        <v>146</v>
      </c>
    </row>
    <row r="23" spans="1:2" x14ac:dyDescent="0.35">
      <c r="A23" t="s">
        <v>25</v>
      </c>
      <c r="B23" t="s">
        <v>147</v>
      </c>
    </row>
    <row r="24" spans="1:2" x14ac:dyDescent="0.35">
      <c r="A24" t="s">
        <v>26</v>
      </c>
      <c r="B24" t="s">
        <v>144</v>
      </c>
    </row>
    <row r="25" spans="1:2" x14ac:dyDescent="0.35">
      <c r="A25" t="s">
        <v>12</v>
      </c>
      <c r="B25" t="s">
        <v>149</v>
      </c>
    </row>
    <row r="26" spans="1:2" x14ac:dyDescent="0.35">
      <c r="A26" t="s">
        <v>151</v>
      </c>
      <c r="B26" t="s">
        <v>152</v>
      </c>
    </row>
    <row r="27" spans="1:2" x14ac:dyDescent="0.35">
      <c r="A27" t="s">
        <v>153</v>
      </c>
      <c r="B27" t="s">
        <v>154</v>
      </c>
    </row>
    <row r="28" spans="1:2" x14ac:dyDescent="0.35">
      <c r="A28" t="s">
        <v>155</v>
      </c>
      <c r="B28" t="s">
        <v>156</v>
      </c>
    </row>
    <row r="29" spans="1:2" x14ac:dyDescent="0.35">
      <c r="A29" t="s">
        <v>157</v>
      </c>
      <c r="B29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topLeftCell="B1" workbookViewId="0">
      <selection activeCell="D19" sqref="D19"/>
    </sheetView>
  </sheetViews>
  <sheetFormatPr defaultRowHeight="14.5" x14ac:dyDescent="0.35"/>
  <cols>
    <col min="1" max="1" width="17.81640625" bestFit="1" customWidth="1"/>
    <col min="2" max="2" width="9.7265625" bestFit="1" customWidth="1"/>
    <col min="3" max="3" width="12" style="10" bestFit="1" customWidth="1"/>
    <col min="4" max="4" width="13.90625" style="11" bestFit="1" customWidth="1"/>
    <col min="5" max="5" width="21.08984375" style="12" bestFit="1" customWidth="1"/>
  </cols>
  <sheetData>
    <row r="1" spans="1:5" x14ac:dyDescent="0.35">
      <c r="A1" s="1" t="s">
        <v>111</v>
      </c>
      <c r="B1" s="1" t="s">
        <v>9</v>
      </c>
      <c r="C1" s="9" t="s">
        <v>0</v>
      </c>
      <c r="D1" s="15" t="s">
        <v>117</v>
      </c>
      <c r="E1" s="16" t="s">
        <v>141</v>
      </c>
    </row>
    <row r="2" spans="1:5" x14ac:dyDescent="0.35">
      <c r="A2" t="s">
        <v>118</v>
      </c>
      <c r="B2" t="s">
        <v>139</v>
      </c>
      <c r="C2" s="8" t="s">
        <v>19</v>
      </c>
      <c r="D2" s="11">
        <f>(JobGroupExecutionsOLD!C2) + TIME(0,20,0)</f>
        <v>0.2638888888888889</v>
      </c>
      <c r="E2" s="12">
        <f>C2+D2</f>
        <v>46023.263888888891</v>
      </c>
    </row>
    <row r="3" spans="1:5" x14ac:dyDescent="0.35">
      <c r="A3" t="s">
        <v>121</v>
      </c>
      <c r="B3" t="s">
        <v>139</v>
      </c>
      <c r="C3" s="8" t="s">
        <v>20</v>
      </c>
      <c r="D3" s="11">
        <f>(JobGroupExecutionsOLD!C3)</f>
        <v>0.25</v>
      </c>
      <c r="E3" s="12">
        <f t="shared" ref="E3:E19" si="0">C3+D3</f>
        <v>46024.25</v>
      </c>
    </row>
    <row r="4" spans="1:5" x14ac:dyDescent="0.35">
      <c r="A4" t="s">
        <v>122</v>
      </c>
      <c r="B4" t="s">
        <v>139</v>
      </c>
      <c r="C4" s="8" t="s">
        <v>21</v>
      </c>
      <c r="D4" s="11">
        <f>(JobGroupExecutionsOLD!C4)</f>
        <v>0.25</v>
      </c>
      <c r="E4" s="12">
        <f t="shared" si="0"/>
        <v>46025.25</v>
      </c>
    </row>
    <row r="5" spans="1:5" x14ac:dyDescent="0.35">
      <c r="A5" t="s">
        <v>10</v>
      </c>
      <c r="B5" t="s">
        <v>116</v>
      </c>
      <c r="C5" s="8" t="s">
        <v>19</v>
      </c>
      <c r="D5" s="11">
        <f>(JobGroupExecutionsOLD!C8)</f>
        <v>0.875</v>
      </c>
      <c r="E5" s="12">
        <f t="shared" si="0"/>
        <v>46023.875</v>
      </c>
    </row>
    <row r="6" spans="1:5" x14ac:dyDescent="0.35">
      <c r="A6" t="s">
        <v>119</v>
      </c>
      <c r="B6" t="s">
        <v>116</v>
      </c>
      <c r="C6" s="8" t="s">
        <v>20</v>
      </c>
      <c r="D6" s="11">
        <f>(JobGroupExecutionsOLD!C9)</f>
        <v>0.875</v>
      </c>
      <c r="E6" s="12">
        <f t="shared" si="0"/>
        <v>46024.875</v>
      </c>
    </row>
    <row r="7" spans="1:5" x14ac:dyDescent="0.35">
      <c r="A7" t="s">
        <v>120</v>
      </c>
      <c r="B7" t="s">
        <v>116</v>
      </c>
      <c r="C7" s="8" t="s">
        <v>21</v>
      </c>
      <c r="D7" s="11">
        <f>(JobGroupExecutionsOLD!C10)</f>
        <v>0.875</v>
      </c>
      <c r="E7" s="12">
        <f t="shared" si="0"/>
        <v>46025.875</v>
      </c>
    </row>
    <row r="8" spans="1:5" x14ac:dyDescent="0.35">
      <c r="A8" t="s">
        <v>124</v>
      </c>
      <c r="B8" t="s">
        <v>123</v>
      </c>
      <c r="C8" s="8" t="s">
        <v>19</v>
      </c>
      <c r="D8" s="11">
        <f>(JobGroupExecutionsOLD!C8)</f>
        <v>0.875</v>
      </c>
      <c r="E8" s="12">
        <f t="shared" si="0"/>
        <v>46023.875</v>
      </c>
    </row>
    <row r="9" spans="1:5" x14ac:dyDescent="0.35">
      <c r="A9" t="s">
        <v>125</v>
      </c>
      <c r="B9" t="s">
        <v>123</v>
      </c>
      <c r="C9" s="8" t="s">
        <v>20</v>
      </c>
      <c r="D9" s="11">
        <f>(JobGroupExecutionsOLD!C9)</f>
        <v>0.875</v>
      </c>
      <c r="E9" s="12">
        <f t="shared" si="0"/>
        <v>46024.875</v>
      </c>
    </row>
    <row r="10" spans="1:5" x14ac:dyDescent="0.35">
      <c r="A10" t="s">
        <v>126</v>
      </c>
      <c r="B10" t="s">
        <v>123</v>
      </c>
      <c r="C10" s="8" t="s">
        <v>21</v>
      </c>
      <c r="D10" s="11">
        <f>(JobGroupExecutionsOLD!C10)</f>
        <v>0.875</v>
      </c>
      <c r="E10" s="12">
        <f t="shared" si="0"/>
        <v>46025.875</v>
      </c>
    </row>
    <row r="11" spans="1:5" x14ac:dyDescent="0.35">
      <c r="A11" t="s">
        <v>128</v>
      </c>
      <c r="B11" t="s">
        <v>127</v>
      </c>
      <c r="C11" s="8" t="s">
        <v>19</v>
      </c>
      <c r="D11" s="11">
        <f>(JobGroupExecutionsOLD!C5)</f>
        <v>0.58333333333333337</v>
      </c>
      <c r="E11" s="12">
        <f t="shared" si="0"/>
        <v>46023.583333333336</v>
      </c>
    </row>
    <row r="12" spans="1:5" x14ac:dyDescent="0.35">
      <c r="A12" t="s">
        <v>129</v>
      </c>
      <c r="B12" t="s">
        <v>127</v>
      </c>
      <c r="C12" s="8" t="s">
        <v>20</v>
      </c>
      <c r="D12" s="11">
        <f>(JobGroupExecutionsOLD!C6)</f>
        <v>0.58333333333333337</v>
      </c>
      <c r="E12" s="12">
        <f t="shared" si="0"/>
        <v>46024.583333333336</v>
      </c>
    </row>
    <row r="13" spans="1:5" x14ac:dyDescent="0.35">
      <c r="A13" t="s">
        <v>130</v>
      </c>
      <c r="B13" t="s">
        <v>127</v>
      </c>
      <c r="C13" s="8" t="s">
        <v>21</v>
      </c>
      <c r="D13" s="11">
        <f>(JobGroupExecutionsOLD!C7)</f>
        <v>0.58333333333333337</v>
      </c>
      <c r="E13" s="12">
        <f t="shared" si="0"/>
        <v>46025.583333333336</v>
      </c>
    </row>
    <row r="14" spans="1:5" x14ac:dyDescent="0.35">
      <c r="A14" t="s">
        <v>132</v>
      </c>
      <c r="B14" t="s">
        <v>131</v>
      </c>
      <c r="C14" s="8" t="s">
        <v>19</v>
      </c>
      <c r="D14" s="11">
        <f>(JobGroupExecutionsOLD!C8)</f>
        <v>0.875</v>
      </c>
      <c r="E14" s="12">
        <f t="shared" si="0"/>
        <v>46023.875</v>
      </c>
    </row>
    <row r="15" spans="1:5" x14ac:dyDescent="0.35">
      <c r="A15" t="s">
        <v>133</v>
      </c>
      <c r="B15" t="s">
        <v>131</v>
      </c>
      <c r="C15" s="8" t="s">
        <v>20</v>
      </c>
      <c r="D15" s="11">
        <f>(JobGroupExecutionsOLD!C9)</f>
        <v>0.875</v>
      </c>
      <c r="E15" s="12">
        <f t="shared" si="0"/>
        <v>46024.875</v>
      </c>
    </row>
    <row r="16" spans="1:5" x14ac:dyDescent="0.35">
      <c r="A16" t="s">
        <v>134</v>
      </c>
      <c r="B16" t="s">
        <v>131</v>
      </c>
      <c r="C16" s="8" t="s">
        <v>21</v>
      </c>
      <c r="D16" s="11">
        <f>(JobGroupExecutionsOLD!C10)</f>
        <v>0.875</v>
      </c>
      <c r="E16" s="12">
        <f t="shared" si="0"/>
        <v>46025.875</v>
      </c>
    </row>
    <row r="17" spans="1:5" x14ac:dyDescent="0.35">
      <c r="A17" t="s">
        <v>135</v>
      </c>
      <c r="B17" t="s">
        <v>138</v>
      </c>
      <c r="C17" s="8" t="s">
        <v>19</v>
      </c>
      <c r="D17" s="11">
        <f>(JobGroupExecutionsOLD!C8) + TIME(0,35,0)</f>
        <v>0.89930555555555558</v>
      </c>
      <c r="E17" s="12">
        <f t="shared" si="0"/>
        <v>46023.899305555555</v>
      </c>
    </row>
    <row r="18" spans="1:5" x14ac:dyDescent="0.35">
      <c r="A18" t="s">
        <v>136</v>
      </c>
      <c r="B18" t="s">
        <v>138</v>
      </c>
      <c r="C18" s="8" t="s">
        <v>20</v>
      </c>
      <c r="D18" s="11">
        <f>(JobGroupExecutionsOLD!C9)</f>
        <v>0.875</v>
      </c>
      <c r="E18" s="12">
        <f t="shared" si="0"/>
        <v>46024.875</v>
      </c>
    </row>
    <row r="19" spans="1:5" x14ac:dyDescent="0.35">
      <c r="A19" t="s">
        <v>137</v>
      </c>
      <c r="B19" t="s">
        <v>138</v>
      </c>
      <c r="C19" s="8" t="s">
        <v>21</v>
      </c>
      <c r="D19" s="11">
        <f>(JobGroupExecutionsOLD!C10) + TIME(1,5,0)</f>
        <v>0.92013888888888884</v>
      </c>
      <c r="E19" s="12">
        <f t="shared" si="0"/>
        <v>46025.920138888891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JobGroupExecutionsOLD</vt:lpstr>
      <vt:lpstr>JobContextExecutions</vt:lpstr>
      <vt:lpstr>Mapping</vt:lpstr>
      <vt:lpstr>ResourceAvailabilityEvents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Khanna</cp:lastModifiedBy>
  <dcterms:created xsi:type="dcterms:W3CDTF">2025-11-03T07:20:55Z</dcterms:created>
  <dcterms:modified xsi:type="dcterms:W3CDTF">2026-05-12T13:08:27Z</dcterms:modified>
</cp:coreProperties>
</file>