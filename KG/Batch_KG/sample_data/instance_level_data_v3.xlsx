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Iris\practice\GenAI\code\Batch_KG\sample_data\"/>
    </mc:Choice>
  </mc:AlternateContent>
  <xr:revisionPtr revIDLastSave="0" documentId="13_ncr:1_{4AF9EA2C-748F-4066-AE9D-A5174300072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JobGroupExecutions" sheetId="6" r:id="rId1"/>
    <sheet name="JobContextExecutions" sheetId="2" r:id="rId2"/>
    <sheet name="ResourceAvailabilityEvent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65" i="2"/>
  <c r="E56" i="2"/>
  <c r="E47" i="2"/>
  <c r="E38" i="2"/>
  <c r="E29" i="2"/>
  <c r="E20" i="2"/>
  <c r="E14" i="2"/>
  <c r="E8" i="2"/>
  <c r="F2" i="2"/>
  <c r="D17" i="5"/>
  <c r="D19" i="5"/>
  <c r="D18" i="5"/>
  <c r="F65" i="2"/>
  <c r="F56" i="2"/>
  <c r="F47" i="2"/>
  <c r="F38" i="2"/>
  <c r="G38" i="2" s="1"/>
  <c r="H38" i="2" s="1"/>
  <c r="F29" i="2"/>
  <c r="F20" i="2"/>
  <c r="F14" i="2"/>
  <c r="F8" i="2"/>
  <c r="D13" i="5"/>
  <c r="D12" i="5"/>
  <c r="D11" i="5"/>
  <c r="D16" i="5"/>
  <c r="D15" i="5"/>
  <c r="D14" i="5"/>
  <c r="D10" i="5"/>
  <c r="D9" i="5"/>
  <c r="D8" i="5"/>
  <c r="D6" i="5"/>
  <c r="D7" i="5"/>
  <c r="D5" i="5"/>
  <c r="D3" i="5"/>
  <c r="D4" i="5"/>
  <c r="D2" i="5"/>
  <c r="G14" i="2"/>
  <c r="F15" i="2" s="1"/>
  <c r="G15" i="2" s="1"/>
  <c r="F14" i="5" a="1"/>
  <c r="F14" i="5" s="1"/>
  <c r="F15" i="5" a="1"/>
  <c r="F15" i="5" s="1"/>
  <c r="F16" i="5" a="1"/>
  <c r="F16" i="5" s="1"/>
  <c r="F17" i="5" a="1"/>
  <c r="F17" i="5" s="1"/>
  <c r="F18" i="5" a="1"/>
  <c r="F18" i="5" s="1"/>
  <c r="F19" i="5" a="1"/>
  <c r="F19" i="5" s="1"/>
  <c r="F11" i="5" a="1"/>
  <c r="F11" i="5" s="1"/>
  <c r="F12" i="5" a="1"/>
  <c r="F12" i="5" s="1"/>
  <c r="F13" i="5" a="1"/>
  <c r="F13" i="5" s="1"/>
  <c r="F8" i="5" a="1"/>
  <c r="F8" i="5" s="1"/>
  <c r="F9" i="5" a="1"/>
  <c r="F9" i="5" s="1"/>
  <c r="F10" i="5" a="1"/>
  <c r="F10" i="5" s="1"/>
  <c r="F3" i="5" a="1"/>
  <c r="F3" i="5" s="1"/>
  <c r="F4" i="5" a="1"/>
  <c r="F4" i="5" s="1"/>
  <c r="F5" i="5" a="1"/>
  <c r="F5" i="5" s="1"/>
  <c r="F6" i="5" a="1"/>
  <c r="F6" i="5" s="1"/>
  <c r="F7" i="5" a="1"/>
  <c r="F7" i="5" s="1"/>
  <c r="F2" i="5" a="1"/>
  <c r="F2" i="5" s="1"/>
  <c r="I66" i="2"/>
  <c r="I67" i="2"/>
  <c r="I68" i="2"/>
  <c r="E19" i="5" s="1"/>
  <c r="I69" i="2"/>
  <c r="I70" i="2"/>
  <c r="I71" i="2"/>
  <c r="I72" i="2"/>
  <c r="I73" i="2"/>
  <c r="I65" i="2"/>
  <c r="E7" i="5" s="1"/>
  <c r="I57" i="2"/>
  <c r="I58" i="2"/>
  <c r="I59" i="2"/>
  <c r="E18" i="5" s="1"/>
  <c r="I60" i="2"/>
  <c r="I61" i="2"/>
  <c r="I62" i="2"/>
  <c r="I63" i="2"/>
  <c r="I64" i="2"/>
  <c r="I56" i="2"/>
  <c r="E6" i="5" s="1"/>
  <c r="I48" i="2"/>
  <c r="I49" i="2"/>
  <c r="I50" i="2"/>
  <c r="E17" i="5" s="1"/>
  <c r="I51" i="2"/>
  <c r="I52" i="2"/>
  <c r="I53" i="2"/>
  <c r="I54" i="2"/>
  <c r="I55" i="2"/>
  <c r="I47" i="2"/>
  <c r="E5" i="5" s="1"/>
  <c r="I39" i="2"/>
  <c r="I40" i="2"/>
  <c r="I41" i="2"/>
  <c r="I42" i="2"/>
  <c r="I43" i="2"/>
  <c r="I44" i="2"/>
  <c r="I45" i="2"/>
  <c r="I46" i="2"/>
  <c r="I38" i="2"/>
  <c r="E13" i="5" s="1"/>
  <c r="I30" i="2"/>
  <c r="I31" i="2"/>
  <c r="I32" i="2"/>
  <c r="I33" i="2"/>
  <c r="I34" i="2"/>
  <c r="I35" i="2"/>
  <c r="I36" i="2"/>
  <c r="I37" i="2"/>
  <c r="I29" i="2"/>
  <c r="E12" i="5" s="1"/>
  <c r="I21" i="2"/>
  <c r="I22" i="2"/>
  <c r="I23" i="2"/>
  <c r="I24" i="2"/>
  <c r="I25" i="2"/>
  <c r="I26" i="2"/>
  <c r="I27" i="2"/>
  <c r="I28" i="2"/>
  <c r="I20" i="2"/>
  <c r="E11" i="5" s="1"/>
  <c r="I15" i="2"/>
  <c r="I16" i="2"/>
  <c r="I17" i="2"/>
  <c r="I18" i="2"/>
  <c r="I19" i="2"/>
  <c r="I14" i="2"/>
  <c r="E4" i="5" s="1"/>
  <c r="I9" i="2"/>
  <c r="I10" i="2"/>
  <c r="I11" i="2"/>
  <c r="I12" i="2"/>
  <c r="I13" i="2"/>
  <c r="I8" i="2"/>
  <c r="E3" i="5" s="1"/>
  <c r="I3" i="2"/>
  <c r="I4" i="2"/>
  <c r="I5" i="2"/>
  <c r="I6" i="2"/>
  <c r="I7" i="2"/>
  <c r="I2" i="2"/>
  <c r="E2" i="5" s="1"/>
  <c r="G65" i="2"/>
  <c r="H65" i="2" s="1"/>
  <c r="G47" i="2"/>
  <c r="H47" i="2" s="1"/>
  <c r="G29" i="2"/>
  <c r="H29" i="2" s="1"/>
  <c r="G20" i="2"/>
  <c r="H20" i="2" s="1"/>
  <c r="G2" i="2"/>
  <c r="F4" i="2" s="1"/>
  <c r="G4" i="2" s="1"/>
  <c r="G8" i="2"/>
  <c r="F10" i="2" s="1"/>
  <c r="G10" i="2" s="1"/>
  <c r="E15" i="2" l="1"/>
  <c r="E10" i="2"/>
  <c r="E4" i="2"/>
  <c r="G56" i="2"/>
  <c r="H56" i="2" s="1"/>
  <c r="E16" i="5"/>
  <c r="E15" i="5"/>
  <c r="E14" i="5"/>
  <c r="E10" i="5"/>
  <c r="E8" i="5"/>
  <c r="E9" i="5"/>
  <c r="F66" i="2"/>
  <c r="F67" i="2"/>
  <c r="F48" i="2"/>
  <c r="F49" i="2"/>
  <c r="F40" i="2"/>
  <c r="E40" i="2" s="1"/>
  <c r="F39" i="2"/>
  <c r="E39" i="2" s="1"/>
  <c r="F30" i="2"/>
  <c r="F31" i="2"/>
  <c r="F22" i="2"/>
  <c r="F21" i="2"/>
  <c r="H15" i="2"/>
  <c r="F17" i="2"/>
  <c r="F16" i="2"/>
  <c r="H14" i="2"/>
  <c r="F3" i="2"/>
  <c r="H2" i="2"/>
  <c r="F6" i="2"/>
  <c r="H4" i="2"/>
  <c r="F12" i="2"/>
  <c r="H8" i="2"/>
  <c r="F9" i="2"/>
  <c r="G67" i="2" l="1"/>
  <c r="H67" i="2" s="1"/>
  <c r="E67" i="2"/>
  <c r="G66" i="2"/>
  <c r="E66" i="2"/>
  <c r="G49" i="2"/>
  <c r="H49" i="2" s="1"/>
  <c r="E49" i="2"/>
  <c r="G48" i="2"/>
  <c r="E48" i="2"/>
  <c r="G31" i="2"/>
  <c r="H31" i="2" s="1"/>
  <c r="E31" i="2"/>
  <c r="G30" i="2"/>
  <c r="H30" i="2" s="1"/>
  <c r="E30" i="2"/>
  <c r="G22" i="2"/>
  <c r="H22" i="2" s="1"/>
  <c r="E22" i="2"/>
  <c r="G21" i="2"/>
  <c r="H21" i="2" s="1"/>
  <c r="E21" i="2"/>
  <c r="G16" i="2"/>
  <c r="H16" i="2" s="1"/>
  <c r="E16" i="2"/>
  <c r="G17" i="2"/>
  <c r="H17" i="2" s="1"/>
  <c r="E17" i="2"/>
  <c r="G12" i="2"/>
  <c r="H12" i="2" s="1"/>
  <c r="E12" i="2"/>
  <c r="G9" i="2"/>
  <c r="F11" i="2" s="1"/>
  <c r="E9" i="2"/>
  <c r="E6" i="2"/>
  <c r="E3" i="2"/>
  <c r="F58" i="2"/>
  <c r="F57" i="2"/>
  <c r="G39" i="2"/>
  <c r="F41" i="2" s="1"/>
  <c r="G40" i="2"/>
  <c r="H40" i="2" s="1"/>
  <c r="G3" i="2"/>
  <c r="F5" i="2" s="1"/>
  <c r="E5" i="2" s="1"/>
  <c r="G6" i="2"/>
  <c r="H10" i="2"/>
  <c r="H48" i="2" l="1"/>
  <c r="E50" i="2"/>
  <c r="F68" i="2"/>
  <c r="G68" i="2" s="1"/>
  <c r="F69" i="2" s="1"/>
  <c r="H66" i="2"/>
  <c r="E68" i="2"/>
  <c r="F24" i="2"/>
  <c r="G24" i="2" s="1"/>
  <c r="F26" i="2" s="1"/>
  <c r="F50" i="2"/>
  <c r="G58" i="2"/>
  <c r="H58" i="2" s="1"/>
  <c r="E58" i="2"/>
  <c r="G57" i="2"/>
  <c r="E57" i="2"/>
  <c r="G41" i="2"/>
  <c r="F43" i="2" s="1"/>
  <c r="E41" i="2"/>
  <c r="F33" i="2"/>
  <c r="E33" i="2" s="1"/>
  <c r="F23" i="2"/>
  <c r="E23" i="2" s="1"/>
  <c r="F32" i="2"/>
  <c r="E32" i="2" s="1"/>
  <c r="F18" i="2"/>
  <c r="E18" i="2" s="1"/>
  <c r="G11" i="2"/>
  <c r="F13" i="2" s="1"/>
  <c r="E13" i="2" s="1"/>
  <c r="E11" i="2"/>
  <c r="H39" i="2"/>
  <c r="F42" i="2"/>
  <c r="G5" i="2"/>
  <c r="H5" i="2" s="1"/>
  <c r="H3" i="2"/>
  <c r="H6" i="2"/>
  <c r="H9" i="2"/>
  <c r="E24" i="2" l="1"/>
  <c r="H57" i="2"/>
  <c r="E59" i="2"/>
  <c r="G69" i="2"/>
  <c r="F70" i="2" s="1"/>
  <c r="E69" i="2"/>
  <c r="H41" i="2"/>
  <c r="F59" i="2"/>
  <c r="G59" i="2" s="1"/>
  <c r="H59" i="2" s="1"/>
  <c r="G50" i="2"/>
  <c r="H50" i="2" s="1"/>
  <c r="G33" i="2"/>
  <c r="F35" i="2" s="1"/>
  <c r="G35" i="2" s="1"/>
  <c r="H35" i="2" s="1"/>
  <c r="G23" i="2"/>
  <c r="F25" i="2" s="1"/>
  <c r="E25" i="2" s="1"/>
  <c r="H24" i="2"/>
  <c r="G42" i="2"/>
  <c r="H42" i="2" s="1"/>
  <c r="E42" i="2"/>
  <c r="G43" i="2"/>
  <c r="H43" i="2" s="1"/>
  <c r="E43" i="2"/>
  <c r="G32" i="2"/>
  <c r="F34" i="2" s="1"/>
  <c r="G34" i="2" s="1"/>
  <c r="H34" i="2" s="1"/>
  <c r="G18" i="2"/>
  <c r="H18" i="2" s="1"/>
  <c r="G26" i="2"/>
  <c r="H26" i="2" s="1"/>
  <c r="E26" i="2"/>
  <c r="H68" i="2"/>
  <c r="F7" i="2"/>
  <c r="E7" i="2" s="1"/>
  <c r="G13" i="2"/>
  <c r="H13" i="2" s="1"/>
  <c r="H11" i="2"/>
  <c r="H69" i="2" l="1"/>
  <c r="G70" i="2"/>
  <c r="H70" i="2" s="1"/>
  <c r="E70" i="2"/>
  <c r="F51" i="2"/>
  <c r="G51" i="2" s="1"/>
  <c r="F52" i="2" s="1"/>
  <c r="F60" i="2"/>
  <c r="G60" i="2" s="1"/>
  <c r="E35" i="2"/>
  <c r="H33" i="2"/>
  <c r="G25" i="2"/>
  <c r="H25" i="2" s="1"/>
  <c r="H23" i="2"/>
  <c r="H32" i="2"/>
  <c r="F44" i="2"/>
  <c r="E34" i="2"/>
  <c r="F36" i="2"/>
  <c r="G36" i="2" s="1"/>
  <c r="H36" i="2" s="1"/>
  <c r="F19" i="2"/>
  <c r="G19" i="2" s="1"/>
  <c r="H19" i="2" s="1"/>
  <c r="F27" i="2"/>
  <c r="G27" i="2" s="1"/>
  <c r="H27" i="2" s="1"/>
  <c r="G7" i="2"/>
  <c r="H7" i="2" s="1"/>
  <c r="F71" i="2" l="1"/>
  <c r="E71" i="2" s="1"/>
  <c r="H60" i="2"/>
  <c r="F61" i="2"/>
  <c r="G61" i="2" s="1"/>
  <c r="E51" i="2"/>
  <c r="E60" i="2"/>
  <c r="H51" i="2"/>
  <c r="G52" i="2"/>
  <c r="E52" i="2"/>
  <c r="E27" i="2"/>
  <c r="E19" i="2"/>
  <c r="E36" i="2"/>
  <c r="G44" i="2"/>
  <c r="E44" i="2"/>
  <c r="F37" i="2"/>
  <c r="G37" i="2" s="1"/>
  <c r="H37" i="2" s="1"/>
  <c r="F28" i="2"/>
  <c r="G28" i="2" s="1"/>
  <c r="H28" i="2" s="1"/>
  <c r="G71" i="2" l="1"/>
  <c r="F72" i="2" s="1"/>
  <c r="G72" i="2" s="1"/>
  <c r="F73" i="2" s="1"/>
  <c r="F62" i="2"/>
  <c r="H61" i="2"/>
  <c r="E61" i="2"/>
  <c r="H52" i="2"/>
  <c r="F53" i="2"/>
  <c r="F45" i="2"/>
  <c r="H44" i="2"/>
  <c r="E37" i="2"/>
  <c r="E28" i="2"/>
  <c r="H71" i="2" l="1"/>
  <c r="E72" i="2"/>
  <c r="G73" i="2"/>
  <c r="H73" i="2" s="1"/>
  <c r="E73" i="2"/>
  <c r="H72" i="2"/>
  <c r="E62" i="2"/>
  <c r="G62" i="2"/>
  <c r="E53" i="2"/>
  <c r="G53" i="2"/>
  <c r="G45" i="2"/>
  <c r="E45" i="2"/>
  <c r="H62" i="2" l="1"/>
  <c r="F63" i="2"/>
  <c r="H53" i="2"/>
  <c r="F54" i="2"/>
  <c r="H45" i="2"/>
  <c r="F46" i="2"/>
  <c r="E63" i="2" l="1"/>
  <c r="G63" i="2"/>
  <c r="G54" i="2"/>
  <c r="E54" i="2"/>
  <c r="G46" i="2"/>
  <c r="H46" i="2" s="1"/>
  <c r="E46" i="2"/>
  <c r="H63" i="2" l="1"/>
  <c r="F64" i="2"/>
  <c r="H54" i="2"/>
  <c r="F55" i="2"/>
  <c r="G64" i="2" l="1"/>
  <c r="H64" i="2" s="1"/>
  <c r="E64" i="2"/>
  <c r="G55" i="2"/>
  <c r="H55" i="2" s="1"/>
  <c r="E5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<sst xmlns="http://schemas.openxmlformats.org/spreadsheetml/2006/main" count="637" uniqueCount="162">
  <si>
    <t>businessDate</t>
  </si>
  <si>
    <t>startTime</t>
  </si>
  <si>
    <t>endTime</t>
  </si>
  <si>
    <t>durationMs</t>
  </si>
  <si>
    <t>status</t>
  </si>
  <si>
    <t>COMPLETED</t>
  </si>
  <si>
    <t>exitCode</t>
  </si>
  <si>
    <t>exitMessage</t>
  </si>
  <si>
    <t>retryCount</t>
  </si>
  <si>
    <t>0</t>
  </si>
  <si>
    <t>Success</t>
  </si>
  <si>
    <t>resourceId</t>
  </si>
  <si>
    <t>checksum</t>
  </si>
  <si>
    <t>detectedBy</t>
  </si>
  <si>
    <t>FILE_WATCHER</t>
  </si>
  <si>
    <t>RSD_file2_20250101</t>
  </si>
  <si>
    <t>jobContextId</t>
  </si>
  <si>
    <t>ctx_0028</t>
  </si>
  <si>
    <t>jbex_0001</t>
  </si>
  <si>
    <t>jbex_0002</t>
  </si>
  <si>
    <t>jbex_0003</t>
  </si>
  <si>
    <t>jbex_0004</t>
  </si>
  <si>
    <t>jbex_0005</t>
  </si>
  <si>
    <t>jbex_0006</t>
  </si>
  <si>
    <t>2026-01-01</t>
  </si>
  <si>
    <t>2026-01-02</t>
  </si>
  <si>
    <t>2026-01-03</t>
  </si>
  <si>
    <t>ctx_0022</t>
  </si>
  <si>
    <t>ctx_0023</t>
  </si>
  <si>
    <t>ctx_0024</t>
  </si>
  <si>
    <t>ctx_0025</t>
  </si>
  <si>
    <t>ctx_0026</t>
  </si>
  <si>
    <t>volume</t>
  </si>
  <si>
    <t>jbex_0007</t>
  </si>
  <si>
    <t>jbex_0008</t>
  </si>
  <si>
    <t>jbex_0009</t>
  </si>
  <si>
    <t>jbex_0010</t>
  </si>
  <si>
    <t>jbex_0011</t>
  </si>
  <si>
    <t>jbex_0012</t>
  </si>
  <si>
    <t>jbex_0013</t>
  </si>
  <si>
    <t>jbex_0014</t>
  </si>
  <si>
    <t>jbex_0015</t>
  </si>
  <si>
    <t>jbex_0016</t>
  </si>
  <si>
    <t>jbex_0017</t>
  </si>
  <si>
    <t>jbex_0018</t>
  </si>
  <si>
    <t>jbex_0019</t>
  </si>
  <si>
    <t>jbex_0020</t>
  </si>
  <si>
    <t>jbex_0021</t>
  </si>
  <si>
    <t>ctx_0019</t>
  </si>
  <si>
    <t>ctx_0013</t>
  </si>
  <si>
    <t>ctx_0014</t>
  </si>
  <si>
    <t>ctx_0015</t>
  </si>
  <si>
    <t>ctx_0016</t>
  </si>
  <si>
    <t>ctx_0018</t>
  </si>
  <si>
    <t>ctx_0017</t>
  </si>
  <si>
    <t>ctx_0012</t>
  </si>
  <si>
    <t>ctx_0020</t>
  </si>
  <si>
    <t>jbex_0022</t>
  </si>
  <si>
    <t>jbex_0023</t>
  </si>
  <si>
    <t>jbex_0024</t>
  </si>
  <si>
    <t>jbex_0025</t>
  </si>
  <si>
    <t>jbex_0026</t>
  </si>
  <si>
    <t>jbex_0027</t>
  </si>
  <si>
    <t>jbex_0028</t>
  </si>
  <si>
    <t>jbex_0029</t>
  </si>
  <si>
    <t>jbex_0030</t>
  </si>
  <si>
    <t>jbex_0031</t>
  </si>
  <si>
    <t>jbex_0032</t>
  </si>
  <si>
    <t>jbex_0033</t>
  </si>
  <si>
    <t>jbex_0034</t>
  </si>
  <si>
    <t>jbex_0035</t>
  </si>
  <si>
    <t>jbex_0036</t>
  </si>
  <si>
    <t>jbex_0037</t>
  </si>
  <si>
    <t>jbex_0038</t>
  </si>
  <si>
    <t>jbex_0039</t>
  </si>
  <si>
    <t>jbex_0040</t>
  </si>
  <si>
    <t>jbex_0041</t>
  </si>
  <si>
    <t>jbex_0042</t>
  </si>
  <si>
    <t>jbex_0043</t>
  </si>
  <si>
    <t>jbex_0044</t>
  </si>
  <si>
    <t>jbex_0045</t>
  </si>
  <si>
    <t>ctx_0010</t>
  </si>
  <si>
    <t>ctx_0003</t>
  </si>
  <si>
    <t>ctx_0004</t>
  </si>
  <si>
    <t>ctx_0005</t>
  </si>
  <si>
    <t>ctx_0006</t>
  </si>
  <si>
    <t>ctx_0007</t>
  </si>
  <si>
    <t>ctx_0008</t>
  </si>
  <si>
    <t>ctx_0011</t>
  </si>
  <si>
    <t>ctx_0002</t>
  </si>
  <si>
    <t>jbex_0046</t>
  </si>
  <si>
    <t>jbex_0047</t>
  </si>
  <si>
    <t>jbex_0048</t>
  </si>
  <si>
    <t>jbex_0049</t>
  </si>
  <si>
    <t>jbex_0050</t>
  </si>
  <si>
    <t>jbex_0051</t>
  </si>
  <si>
    <t>jbex_0052</t>
  </si>
  <si>
    <t>jbex_0053</t>
  </si>
  <si>
    <t>jbex_0054</t>
  </si>
  <si>
    <t>jbex_0055</t>
  </si>
  <si>
    <t>jbex_0056</t>
  </si>
  <si>
    <t>jbex_0057</t>
  </si>
  <si>
    <t>jbex_0058</t>
  </si>
  <si>
    <t>jbex_0059</t>
  </si>
  <si>
    <t>jbex_0060</t>
  </si>
  <si>
    <t>jbex_0061</t>
  </si>
  <si>
    <t>jbex_0062</t>
  </si>
  <si>
    <t>jbex_0063</t>
  </si>
  <si>
    <t>jbex_0064</t>
  </si>
  <si>
    <t>jbex_0065</t>
  </si>
  <si>
    <t>jbex_0066</t>
  </si>
  <si>
    <t>jbex_0067</t>
  </si>
  <si>
    <t>jbex_0068</t>
  </si>
  <si>
    <t>jbex_0069</t>
  </si>
  <si>
    <t>jbex_0070</t>
  </si>
  <si>
    <t>jbex_0071</t>
  </si>
  <si>
    <t>jbex_0072</t>
  </si>
  <si>
    <t>id</t>
  </si>
  <si>
    <t>jobGroupId</t>
  </si>
  <si>
    <t>jge_0001</t>
  </si>
  <si>
    <t>JG_TEST</t>
  </si>
  <si>
    <t>jge_0002</t>
  </si>
  <si>
    <t>jge_0003</t>
  </si>
  <si>
    <t>jge_0004</t>
  </si>
  <si>
    <t>jge_0005</t>
  </si>
  <si>
    <t>jge_0006</t>
  </si>
  <si>
    <t>jge_0007</t>
  </si>
  <si>
    <t>jge_0008</t>
  </si>
  <si>
    <t>JG_MID</t>
  </si>
  <si>
    <t>JG_EOD</t>
  </si>
  <si>
    <t>jge_0009</t>
  </si>
  <si>
    <t>jobGroupExecId</t>
  </si>
  <si>
    <t>RES_002</t>
  </si>
  <si>
    <t>availabilityTime</t>
  </si>
  <si>
    <t>sizemb</t>
  </si>
  <si>
    <t>RSD_file1_20260101</t>
  </si>
  <si>
    <t>RSD_file2_20250102</t>
  </si>
  <si>
    <t>RSD_file2_20250103</t>
  </si>
  <si>
    <t>RSD_file1_20250102</t>
  </si>
  <si>
    <t>RSD_file1_20250103</t>
  </si>
  <si>
    <t>RES_004</t>
  </si>
  <si>
    <t>RSD_file3_20260101</t>
  </si>
  <si>
    <t>RSD_file3_20260102</t>
  </si>
  <si>
    <t>RSD_file3_20260103</t>
  </si>
  <si>
    <t>RES_006</t>
  </si>
  <si>
    <t>RSD_file4_20260101</t>
  </si>
  <si>
    <t>RSD_file4_20260102</t>
  </si>
  <si>
    <t>RSD_file4_20260103</t>
  </si>
  <si>
    <t>RES_001</t>
  </si>
  <si>
    <t>RSD_file5_20260101</t>
  </si>
  <si>
    <t>RSD_file5_20260102</t>
  </si>
  <si>
    <t>RSD_file5_20260103</t>
  </si>
  <si>
    <t>RSD_file6_20260101</t>
  </si>
  <si>
    <t>RSD_file6_20260102</t>
  </si>
  <si>
    <t>RSD_file6_20260103</t>
  </si>
  <si>
    <t>RES_003</t>
  </si>
  <si>
    <t>RES_005</t>
  </si>
  <si>
    <t>tagId</t>
  </si>
  <si>
    <t>[TAG_YEAR_START_DATE,TAG_MONTH_START_DATE]</t>
  </si>
  <si>
    <t>[TAG_WEEKDAY_END_DATE]</t>
  </si>
  <si>
    <t>[TAG_WEEKEND_START_DATE]</t>
  </si>
  <si>
    <t>expectedStartTime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</si>
</sst>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0;[Red]0"/>
    <numFmt numFmtId="166" formatCode="[$-409]h:mm:ss\ AM/PM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0"/>
      <color rgb="FF333333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0" xfId="0" applyFont="1"/>
    <xf numFmtId="0" fontId="4" fillId="0" borderId="1" xfId="0" applyFont="1" applyBorder="1" applyAlignment="1">
      <alignment horizontal="center" vertical="top" wrapText="1"/>
    </xf>
    <xf numFmtId="49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7866-B80D-45C2-9419-AFB060D343CF}">
  <dimension ref="A1:E10"/>
  <sheetViews>
    <sheetView workbookViewId="0">
      <selection activeCell="B5" sqref="B5"/>
    </sheetView>
  </sheetViews>
  <sheetFormatPr defaultRowHeight="14.5" x14ac:dyDescent="0.35"/>
  <cols>
    <col min="1" max="1" width="8.7265625" bestFit="1" customWidth="1"/>
    <col min="2" max="2" width="11.1796875" bestFit="1" customWidth="1"/>
    <col min="3" max="3" width="12.81640625" bestFit="1" customWidth="1"/>
    <col min="4" max="4" width="10.54296875" bestFit="1" customWidth="1"/>
    <col min="5" max="5" width="48.7265625" bestFit="1" customWidth="1"/>
  </cols>
  <sheetData>
    <row r="1" spans="1:5" x14ac:dyDescent="0.35">
      <c r="A1" s="2" t="s">
        <v>117</v>
      </c>
      <c r="B1" s="2" t="s">
        <v>118</v>
      </c>
      <c r="C1" s="2" t="s">
        <v>0</v>
      </c>
      <c r="D1" s="2" t="s">
        <v>1</v>
      </c>
      <c r="E1" s="1" t="s">
        <v>157</v>
      </c>
    </row>
    <row r="2" spans="1:5" x14ac:dyDescent="0.35">
      <c r="A2" t="s">
        <v>119</v>
      </c>
      <c r="B2" t="s">
        <v>120</v>
      </c>
      <c r="C2" s="6" t="s">
        <v>24</v>
      </c>
      <c r="D2" s="7">
        <v>0.25</v>
      </c>
      <c r="E2" t="s">
        <v>158</v>
      </c>
    </row>
    <row r="3" spans="1:5" x14ac:dyDescent="0.35">
      <c r="A3" t="s">
        <v>121</v>
      </c>
      <c r="B3" t="s">
        <v>120</v>
      </c>
      <c r="C3" s="3" t="s">
        <v>25</v>
      </c>
      <c r="D3" s="7">
        <v>0.25</v>
      </c>
      <c r="E3" t="s">
        <v>159</v>
      </c>
    </row>
    <row r="4" spans="1:5" x14ac:dyDescent="0.35">
      <c r="A4" t="s">
        <v>122</v>
      </c>
      <c r="B4" t="s">
        <v>120</v>
      </c>
      <c r="C4" s="6" t="s">
        <v>26</v>
      </c>
      <c r="D4" s="7">
        <v>0.25</v>
      </c>
      <c r="E4" t="s">
        <v>160</v>
      </c>
    </row>
    <row r="5" spans="1:5" x14ac:dyDescent="0.35">
      <c r="A5" t="s">
        <v>123</v>
      </c>
      <c r="B5" t="s">
        <v>128</v>
      </c>
      <c r="C5" s="6" t="s">
        <v>24</v>
      </c>
      <c r="D5" s="7">
        <v>0.58333333333333337</v>
      </c>
      <c r="E5" t="s">
        <v>158</v>
      </c>
    </row>
    <row r="6" spans="1:5" x14ac:dyDescent="0.35">
      <c r="A6" t="s">
        <v>124</v>
      </c>
      <c r="B6" t="s">
        <v>128</v>
      </c>
      <c r="C6" s="3" t="s">
        <v>25</v>
      </c>
      <c r="D6" s="7">
        <v>0.58333333333333337</v>
      </c>
      <c r="E6" t="s">
        <v>159</v>
      </c>
    </row>
    <row r="7" spans="1:5" x14ac:dyDescent="0.35">
      <c r="A7" t="s">
        <v>125</v>
      </c>
      <c r="B7" t="s">
        <v>128</v>
      </c>
      <c r="C7" s="6" t="s">
        <v>26</v>
      </c>
      <c r="D7" s="7">
        <v>0.58333333333333337</v>
      </c>
      <c r="E7" t="s">
        <v>160</v>
      </c>
    </row>
    <row r="8" spans="1:5" x14ac:dyDescent="0.35">
      <c r="A8" t="s">
        <v>126</v>
      </c>
      <c r="B8" s="3" t="s">
        <v>129</v>
      </c>
      <c r="C8" s="6" t="s">
        <v>24</v>
      </c>
      <c r="D8" s="7">
        <v>0.875</v>
      </c>
      <c r="E8" t="s">
        <v>158</v>
      </c>
    </row>
    <row r="9" spans="1:5" x14ac:dyDescent="0.35">
      <c r="A9" t="s">
        <v>127</v>
      </c>
      <c r="B9" s="3" t="s">
        <v>129</v>
      </c>
      <c r="C9" s="3" t="s">
        <v>25</v>
      </c>
      <c r="D9" s="7">
        <v>0.875</v>
      </c>
      <c r="E9" t="s">
        <v>159</v>
      </c>
    </row>
    <row r="10" spans="1:5" x14ac:dyDescent="0.35">
      <c r="A10" t="s">
        <v>130</v>
      </c>
      <c r="B10" s="3" t="s">
        <v>129</v>
      </c>
      <c r="C10" s="6" t="s">
        <v>26</v>
      </c>
      <c r="D10" s="7">
        <v>0.875</v>
      </c>
      <c r="E10" t="s">
        <v>160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3"/>
  <sheetViews>
    <sheetView tabSelected="1" topLeftCell="B38" workbookViewId="0">
      <selection activeCell="F1" sqref="F1"/>
    </sheetView>
  </sheetViews>
  <sheetFormatPr defaultColWidth="9.1796875" defaultRowHeight="14.5" x14ac:dyDescent="0.35"/>
  <cols>
    <col min="1" max="1" width="9.81640625" style="3" bestFit="1" customWidth="1"/>
    <col min="2" max="2" width="13.81640625" style="3" bestFit="1" customWidth="1"/>
    <col min="3" max="3" width="20.1796875" style="3" bestFit="1" customWidth="1"/>
    <col min="4" max="4" width="12.81640625" style="3" bestFit="1" customWidth="1"/>
    <col min="5" max="5" width="18.7265625" style="3" customWidth="1"/>
    <col min="6" max="7" width="19.81640625" style="3" bestFit="1" customWidth="1"/>
    <col min="8" max="8" width="11.26953125" style="3" bestFit="1" customWidth="1"/>
    <col min="9" max="9" width="11.26953125" style="3" customWidth="1"/>
    <col min="10" max="10" width="11.54296875" style="3" bestFit="1" customWidth="1"/>
    <col min="11" max="11" width="9" style="3" bestFit="1" customWidth="1"/>
    <col min="12" max="12" width="12.26953125" style="3" bestFit="1" customWidth="1"/>
    <col min="13" max="13" width="10.54296875" style="3" bestFit="1" customWidth="1"/>
    <col min="14" max="16384" width="9.1796875" style="3"/>
  </cols>
  <sheetData>
    <row r="1" spans="1:13" x14ac:dyDescent="0.35">
      <c r="A1" s="2" t="s">
        <v>117</v>
      </c>
      <c r="B1" s="2" t="s">
        <v>16</v>
      </c>
      <c r="C1" s="5" t="s">
        <v>131</v>
      </c>
      <c r="D1" s="2" t="s">
        <v>0</v>
      </c>
      <c r="E1" s="5" t="s">
        <v>161</v>
      </c>
      <c r="F1" s="5" t="s">
        <v>1</v>
      </c>
      <c r="G1" s="2" t="s">
        <v>2</v>
      </c>
      <c r="H1" s="2" t="s">
        <v>3</v>
      </c>
      <c r="I1" s="5" t="s">
        <v>32</v>
      </c>
      <c r="J1" s="2" t="s">
        <v>4</v>
      </c>
      <c r="K1" s="2" t="s">
        <v>6</v>
      </c>
      <c r="L1" s="2" t="s">
        <v>7</v>
      </c>
      <c r="M1" s="2" t="s">
        <v>8</v>
      </c>
    </row>
    <row r="2" spans="1:13" x14ac:dyDescent="0.35">
      <c r="A2" s="3" t="s">
        <v>18</v>
      </c>
      <c r="B2" s="4" t="s">
        <v>17</v>
      </c>
      <c r="C2" t="s">
        <v>119</v>
      </c>
      <c r="D2" s="6" t="s">
        <v>24</v>
      </c>
      <c r="E2" s="7">
        <f>JobGroupExecutions!D2</f>
        <v>0.25</v>
      </c>
      <c r="F2" s="7">
        <f>IF(JobGroupExecutions!D2 &gt; ResourceAvailabilityEvents!D2, JobGroupExecutions!D2, ResourceAvailabilityEvents!D2)</f>
        <v>0.2638888888888889</v>
      </c>
      <c r="G2" s="7">
        <f t="shared" ref="G2:G7" ca="1" si="0" xml:space="preserve"> F2 + RANDBETWEEN(5, 120) / 86400</f>
        <v>0.26495370370370369</v>
      </c>
      <c r="H2" s="8">
        <f ca="1">(G2 - F2) * 86400000</f>
        <v>91999.999999998399</v>
      </c>
      <c r="I2" s="8">
        <f ca="1">RANDBETWEEN(80000, 120000)</f>
        <v>89906</v>
      </c>
      <c r="J2" s="3" t="s">
        <v>5</v>
      </c>
      <c r="K2" s="3" t="s">
        <v>9</v>
      </c>
      <c r="L2" s="3" t="s">
        <v>10</v>
      </c>
      <c r="M2" s="3">
        <v>0</v>
      </c>
    </row>
    <row r="3" spans="1:13" x14ac:dyDescent="0.35">
      <c r="A3" s="3" t="s">
        <v>19</v>
      </c>
      <c r="B3" s="3" t="s">
        <v>27</v>
      </c>
      <c r="C3" t="s">
        <v>119</v>
      </c>
      <c r="D3" s="3" t="s">
        <v>24</v>
      </c>
      <c r="E3" s="7">
        <f ca="1">F3</f>
        <v>0.26495370370370369</v>
      </c>
      <c r="F3" s="7">
        <f ca="1">G2</f>
        <v>0.26495370370370369</v>
      </c>
      <c r="G3" s="7">
        <f t="shared" ca="1" si="0"/>
        <v>0.26621527777777776</v>
      </c>
      <c r="H3" s="8">
        <f t="shared" ref="H3:H7" ca="1" si="1">(G3 - F3) * 86400000</f>
        <v>108999.99999999945</v>
      </c>
      <c r="I3" s="8">
        <f t="shared" ref="I3:I7" ca="1" si="2">RANDBETWEEN(80000, 120000)</f>
        <v>81739</v>
      </c>
      <c r="J3" s="3" t="s">
        <v>5</v>
      </c>
      <c r="K3" s="3" t="s">
        <v>9</v>
      </c>
      <c r="L3" s="3" t="s">
        <v>10</v>
      </c>
      <c r="M3" s="3">
        <v>0</v>
      </c>
    </row>
    <row r="4" spans="1:13" x14ac:dyDescent="0.35">
      <c r="A4" s="3" t="s">
        <v>20</v>
      </c>
      <c r="B4" s="3" t="s">
        <v>28</v>
      </c>
      <c r="C4" t="s">
        <v>119</v>
      </c>
      <c r="D4" s="3" t="s">
        <v>24</v>
      </c>
      <c r="E4" s="7">
        <f ca="1">F4</f>
        <v>0.26495370370370369</v>
      </c>
      <c r="F4" s="7">
        <f ca="1">G2</f>
        <v>0.26495370370370369</v>
      </c>
      <c r="G4" s="7">
        <f t="shared" ca="1" si="0"/>
        <v>0.26582175925925927</v>
      </c>
      <c r="H4" s="8">
        <f t="shared" ca="1" si="1"/>
        <v>75000.000000002125</v>
      </c>
      <c r="I4" s="8">
        <f t="shared" ca="1" si="2"/>
        <v>93340</v>
      </c>
      <c r="J4" s="3" t="s">
        <v>5</v>
      </c>
      <c r="K4" s="3" t="s">
        <v>9</v>
      </c>
      <c r="L4" s="3" t="s">
        <v>10</v>
      </c>
      <c r="M4" s="3">
        <v>0</v>
      </c>
    </row>
    <row r="5" spans="1:13" x14ac:dyDescent="0.35">
      <c r="A5" s="3" t="s">
        <v>21</v>
      </c>
      <c r="B5" s="3" t="s">
        <v>29</v>
      </c>
      <c r="C5" t="s">
        <v>119</v>
      </c>
      <c r="D5" s="3" t="s">
        <v>24</v>
      </c>
      <c r="E5" s="7">
        <f ca="1">F5</f>
        <v>0.26621527777777776</v>
      </c>
      <c r="F5" s="7">
        <f ca="1">G3</f>
        <v>0.26621527777777776</v>
      </c>
      <c r="G5" s="7">
        <f t="shared" ca="1" si="0"/>
        <v>0.26689814814814811</v>
      </c>
      <c r="H5" s="8">
        <f t="shared" ca="1" si="1"/>
        <v>58999.999999998028</v>
      </c>
      <c r="I5" s="8">
        <f t="shared" ca="1" si="2"/>
        <v>95855</v>
      </c>
      <c r="J5" s="3" t="s">
        <v>5</v>
      </c>
      <c r="K5" s="3" t="s">
        <v>9</v>
      </c>
      <c r="L5" s="3" t="s">
        <v>10</v>
      </c>
      <c r="M5" s="3">
        <v>0</v>
      </c>
    </row>
    <row r="6" spans="1:13" x14ac:dyDescent="0.35">
      <c r="A6" s="3" t="s">
        <v>22</v>
      </c>
      <c r="B6" s="3" t="s">
        <v>30</v>
      </c>
      <c r="C6" t="s">
        <v>119</v>
      </c>
      <c r="D6" s="3" t="s">
        <v>24</v>
      </c>
      <c r="E6" s="7">
        <f ca="1">F6</f>
        <v>0.26582175925925927</v>
      </c>
      <c r="F6" s="7">
        <f ca="1">G4</f>
        <v>0.26582175925925927</v>
      </c>
      <c r="G6" s="7">
        <f t="shared" ca="1" si="0"/>
        <v>0.26635416666666667</v>
      </c>
      <c r="H6" s="8">
        <f t="shared" ca="1" si="1"/>
        <v>45999.9999999992</v>
      </c>
      <c r="I6" s="8">
        <f t="shared" ca="1" si="2"/>
        <v>82804</v>
      </c>
      <c r="J6" s="3" t="s">
        <v>5</v>
      </c>
      <c r="K6" s="3" t="s">
        <v>9</v>
      </c>
      <c r="L6" s="3" t="s">
        <v>10</v>
      </c>
      <c r="M6" s="3">
        <v>0</v>
      </c>
    </row>
    <row r="7" spans="1:13" x14ac:dyDescent="0.35">
      <c r="A7" s="3" t="s">
        <v>23</v>
      </c>
      <c r="B7" s="3" t="s">
        <v>31</v>
      </c>
      <c r="C7" t="s">
        <v>119</v>
      </c>
      <c r="D7" s="3" t="s">
        <v>24</v>
      </c>
      <c r="E7" s="7">
        <f ca="1">F7</f>
        <v>0.26689814814814811</v>
      </c>
      <c r="F7" s="7">
        <f ca="1">IF(G5 &gt; G6, G5, G6)</f>
        <v>0.26689814814814811</v>
      </c>
      <c r="G7" s="7">
        <f t="shared" ca="1" si="0"/>
        <v>0.26706018518518515</v>
      </c>
      <c r="H7" s="8">
        <f t="shared" ca="1" si="1"/>
        <v>14000.000000000589</v>
      </c>
      <c r="I7" s="8">
        <f t="shared" ca="1" si="2"/>
        <v>102375</v>
      </c>
      <c r="J7" s="3" t="s">
        <v>5</v>
      </c>
      <c r="K7" s="3" t="s">
        <v>9</v>
      </c>
      <c r="L7" s="3" t="s">
        <v>10</v>
      </c>
      <c r="M7" s="3">
        <v>0</v>
      </c>
    </row>
    <row r="8" spans="1:13" x14ac:dyDescent="0.35">
      <c r="A8" s="3" t="s">
        <v>33</v>
      </c>
      <c r="B8" s="4" t="s">
        <v>17</v>
      </c>
      <c r="C8" t="s">
        <v>121</v>
      </c>
      <c r="D8" s="3" t="s">
        <v>25</v>
      </c>
      <c r="E8" s="7">
        <f>JobGroupExecutions!D3</f>
        <v>0.25</v>
      </c>
      <c r="F8" s="7">
        <f>IF(JobGroupExecutions!D3 &gt; ResourceAvailabilityEvents!D3, JobGroupExecutions!D3, ResourceAvailabilityEvents!D3)</f>
        <v>0.25</v>
      </c>
      <c r="G8" s="7">
        <f ca="1" xml:space="preserve"> F8 + RANDBETWEEN(5, 120) / 86400</f>
        <v>0.25056712962962963</v>
      </c>
      <c r="H8" s="8">
        <f ca="1">(G8 - F8) * 86400000</f>
        <v>48999.999999999665</v>
      </c>
      <c r="I8" s="8">
        <f ca="1">RANDBETWEEN(20000, 40000)</f>
        <v>28069</v>
      </c>
      <c r="J8" s="3" t="s">
        <v>5</v>
      </c>
      <c r="K8" s="3" t="s">
        <v>9</v>
      </c>
      <c r="L8" s="3" t="s">
        <v>10</v>
      </c>
      <c r="M8" s="3">
        <v>0</v>
      </c>
    </row>
    <row r="9" spans="1:13" x14ac:dyDescent="0.35">
      <c r="A9" s="3" t="s">
        <v>34</v>
      </c>
      <c r="B9" s="3" t="s">
        <v>27</v>
      </c>
      <c r="C9" t="s">
        <v>121</v>
      </c>
      <c r="D9" s="3" t="s">
        <v>25</v>
      </c>
      <c r="E9" s="7">
        <f ca="1">F9</f>
        <v>0.25056712962962963</v>
      </c>
      <c r="F9" s="7">
        <f ca="1">G8</f>
        <v>0.25056712962962963</v>
      </c>
      <c r="G9" s="7">
        <f t="shared" ref="G9:G19" ca="1" si="3" xml:space="preserve"> F9 + RANDBETWEEN(5, 120) / 86400</f>
        <v>0.25072916666666667</v>
      </c>
      <c r="H9" s="8">
        <f t="shared" ref="H9:H13" ca="1" si="4">(G9 - F9) * 86400000</f>
        <v>14000.000000000589</v>
      </c>
      <c r="I9" s="8">
        <f t="shared" ref="I9:I13" ca="1" si="5">RANDBETWEEN(20000, 40000)</f>
        <v>26429</v>
      </c>
      <c r="J9" s="3" t="s">
        <v>5</v>
      </c>
      <c r="K9" s="3" t="s">
        <v>9</v>
      </c>
      <c r="L9" s="3" t="s">
        <v>10</v>
      </c>
      <c r="M9" s="3">
        <v>0</v>
      </c>
    </row>
    <row r="10" spans="1:13" x14ac:dyDescent="0.35">
      <c r="A10" s="3" t="s">
        <v>35</v>
      </c>
      <c r="B10" s="3" t="s">
        <v>28</v>
      </c>
      <c r="C10" t="s">
        <v>121</v>
      </c>
      <c r="D10" s="3" t="s">
        <v>25</v>
      </c>
      <c r="E10" s="7">
        <f t="shared" ref="E10:E13" ca="1" si="6">F10</f>
        <v>0.25056712962962963</v>
      </c>
      <c r="F10" s="7">
        <f ca="1">G8</f>
        <v>0.25056712962962963</v>
      </c>
      <c r="G10" s="7">
        <f t="shared" ca="1" si="3"/>
        <v>0.25186342592592592</v>
      </c>
      <c r="H10" s="8">
        <f t="shared" ca="1" si="4"/>
        <v>111999.99999999993</v>
      </c>
      <c r="I10" s="8">
        <f t="shared" ca="1" si="5"/>
        <v>22846</v>
      </c>
      <c r="J10" s="3" t="s">
        <v>5</v>
      </c>
      <c r="K10" s="3" t="s">
        <v>9</v>
      </c>
      <c r="L10" s="3" t="s">
        <v>10</v>
      </c>
      <c r="M10" s="3">
        <v>0</v>
      </c>
    </row>
    <row r="11" spans="1:13" x14ac:dyDescent="0.35">
      <c r="A11" s="3" t="s">
        <v>36</v>
      </c>
      <c r="B11" s="3" t="s">
        <v>29</v>
      </c>
      <c r="C11" t="s">
        <v>121</v>
      </c>
      <c r="D11" s="3" t="s">
        <v>25</v>
      </c>
      <c r="E11" s="7">
        <f t="shared" ca="1" si="6"/>
        <v>0.25072916666666667</v>
      </c>
      <c r="F11" s="7">
        <f ca="1">G9</f>
        <v>0.25072916666666667</v>
      </c>
      <c r="G11" s="7">
        <f t="shared" ca="1" si="3"/>
        <v>0.25091435185185185</v>
      </c>
      <c r="H11" s="8">
        <f t="shared" ca="1" si="4"/>
        <v>15999.999999999303</v>
      </c>
      <c r="I11" s="8">
        <f t="shared" ca="1" si="5"/>
        <v>37015</v>
      </c>
      <c r="J11" s="3" t="s">
        <v>5</v>
      </c>
      <c r="K11" s="3" t="s">
        <v>9</v>
      </c>
      <c r="L11" s="3" t="s">
        <v>10</v>
      </c>
      <c r="M11" s="3">
        <v>0</v>
      </c>
    </row>
    <row r="12" spans="1:13" x14ac:dyDescent="0.35">
      <c r="A12" s="3" t="s">
        <v>37</v>
      </c>
      <c r="B12" s="3" t="s">
        <v>30</v>
      </c>
      <c r="C12" t="s">
        <v>121</v>
      </c>
      <c r="D12" s="3" t="s">
        <v>25</v>
      </c>
      <c r="E12" s="7">
        <f t="shared" ca="1" si="6"/>
        <v>0.25186342592592592</v>
      </c>
      <c r="F12" s="7">
        <f ca="1">G10</f>
        <v>0.25186342592592592</v>
      </c>
      <c r="G12" s="7">
        <f t="shared" ca="1" si="3"/>
        <v>0.25315972222222222</v>
      </c>
      <c r="H12" s="8">
        <f t="shared" ca="1" si="4"/>
        <v>111999.99999999993</v>
      </c>
      <c r="I12" s="8">
        <f t="shared" ca="1" si="5"/>
        <v>27002</v>
      </c>
      <c r="J12" s="3" t="s">
        <v>5</v>
      </c>
      <c r="K12" s="3" t="s">
        <v>9</v>
      </c>
      <c r="L12" s="3" t="s">
        <v>10</v>
      </c>
      <c r="M12" s="3">
        <v>0</v>
      </c>
    </row>
    <row r="13" spans="1:13" x14ac:dyDescent="0.35">
      <c r="A13" s="3" t="s">
        <v>38</v>
      </c>
      <c r="B13" s="3" t="s">
        <v>31</v>
      </c>
      <c r="C13" t="s">
        <v>121</v>
      </c>
      <c r="D13" s="3" t="s">
        <v>25</v>
      </c>
      <c r="E13" s="7">
        <f t="shared" ca="1" si="6"/>
        <v>0.25315972222222222</v>
      </c>
      <c r="F13" s="7">
        <f ca="1">IF(G11 &gt; G12, G11, G12)</f>
        <v>0.25315972222222222</v>
      </c>
      <c r="G13" s="7">
        <f t="shared" ca="1" si="3"/>
        <v>0.25370370370370371</v>
      </c>
      <c r="H13" s="8">
        <f t="shared" ca="1" si="4"/>
        <v>47000.000000000953</v>
      </c>
      <c r="I13" s="8">
        <f t="shared" ca="1" si="5"/>
        <v>24396</v>
      </c>
      <c r="J13" s="3" t="s">
        <v>5</v>
      </c>
      <c r="K13" s="3" t="s">
        <v>9</v>
      </c>
      <c r="L13" s="3" t="s">
        <v>10</v>
      </c>
      <c r="M13" s="3">
        <v>0</v>
      </c>
    </row>
    <row r="14" spans="1:13" x14ac:dyDescent="0.35">
      <c r="A14" s="3" t="s">
        <v>39</v>
      </c>
      <c r="B14" s="4" t="s">
        <v>17</v>
      </c>
      <c r="C14" t="s">
        <v>122</v>
      </c>
      <c r="D14" s="6" t="s">
        <v>26</v>
      </c>
      <c r="E14" s="7">
        <f>JobGroupExecutions!D4</f>
        <v>0.25</v>
      </c>
      <c r="F14" s="7">
        <f>IF(JobGroupExecutions!D4 &gt; ResourceAvailabilityEvents!D4, JobGroupExecutions!D4, ResourceAvailabilityEvents!D4)</f>
        <v>0.25</v>
      </c>
      <c r="G14" s="7">
        <f ca="1" xml:space="preserve"> F14 + RANDBETWEEN(5, 120) / 86400</f>
        <v>0.25136574074074075</v>
      </c>
      <c r="H14" s="8">
        <f ca="1">(G14 - F14) * 86400000</f>
        <v>118000.00000000086</v>
      </c>
      <c r="I14" s="8">
        <f ca="1">RANDBETWEEN(20000, 40000)</f>
        <v>31464</v>
      </c>
      <c r="J14" s="3" t="s">
        <v>5</v>
      </c>
      <c r="K14" s="3" t="s">
        <v>9</v>
      </c>
      <c r="L14" s="3" t="s">
        <v>10</v>
      </c>
      <c r="M14" s="3">
        <v>0</v>
      </c>
    </row>
    <row r="15" spans="1:13" x14ac:dyDescent="0.35">
      <c r="A15" s="3" t="s">
        <v>40</v>
      </c>
      <c r="B15" s="3" t="s">
        <v>27</v>
      </c>
      <c r="C15" t="s">
        <v>122</v>
      </c>
      <c r="D15" s="6" t="s">
        <v>26</v>
      </c>
      <c r="E15" s="7">
        <f ca="1">F15</f>
        <v>0.25136574074074075</v>
      </c>
      <c r="F15" s="7">
        <f ca="1">G14</f>
        <v>0.25136574074074075</v>
      </c>
      <c r="G15" s="7">
        <f t="shared" ca="1" si="3"/>
        <v>0.25149305555555557</v>
      </c>
      <c r="H15" s="8">
        <f t="shared" ref="H15:H19" ca="1" si="7">(G15 - F15) * 86400000</f>
        <v>11000.00000000012</v>
      </c>
      <c r="I15" s="8">
        <f t="shared" ref="I15:I19" ca="1" si="8">RANDBETWEEN(20000, 40000)</f>
        <v>25244</v>
      </c>
      <c r="J15" s="3" t="s">
        <v>5</v>
      </c>
      <c r="K15" s="3" t="s">
        <v>9</v>
      </c>
      <c r="L15" s="3" t="s">
        <v>10</v>
      </c>
      <c r="M15" s="3">
        <v>0</v>
      </c>
    </row>
    <row r="16" spans="1:13" x14ac:dyDescent="0.35">
      <c r="A16" s="3" t="s">
        <v>41</v>
      </c>
      <c r="B16" s="3" t="s">
        <v>28</v>
      </c>
      <c r="C16" t="s">
        <v>122</v>
      </c>
      <c r="D16" s="6" t="s">
        <v>26</v>
      </c>
      <c r="E16" s="7">
        <f t="shared" ref="E16:E19" ca="1" si="9">F16</f>
        <v>0.25136574074074075</v>
      </c>
      <c r="F16" s="7">
        <f ca="1">G14</f>
        <v>0.25136574074074075</v>
      </c>
      <c r="G16" s="7">
        <f t="shared" ca="1" si="3"/>
        <v>0.25184027777777779</v>
      </c>
      <c r="H16" s="8">
        <f t="shared" ca="1" si="7"/>
        <v>41000.000000000015</v>
      </c>
      <c r="I16" s="8">
        <f t="shared" ca="1" si="8"/>
        <v>21908</v>
      </c>
      <c r="J16" s="3" t="s">
        <v>5</v>
      </c>
      <c r="K16" s="3" t="s">
        <v>9</v>
      </c>
      <c r="L16" s="3" t="s">
        <v>10</v>
      </c>
      <c r="M16" s="3">
        <v>0</v>
      </c>
    </row>
    <row r="17" spans="1:13" x14ac:dyDescent="0.35">
      <c r="A17" s="3" t="s">
        <v>42</v>
      </c>
      <c r="B17" s="3" t="s">
        <v>29</v>
      </c>
      <c r="C17" t="s">
        <v>122</v>
      </c>
      <c r="D17" s="6" t="s">
        <v>26</v>
      </c>
      <c r="E17" s="7">
        <f t="shared" ca="1" si="9"/>
        <v>0.25149305555555557</v>
      </c>
      <c r="F17" s="7">
        <f ca="1">G15</f>
        <v>0.25149305555555557</v>
      </c>
      <c r="G17" s="7">
        <f t="shared" ca="1" si="3"/>
        <v>0.2519791666666667</v>
      </c>
      <c r="H17" s="8">
        <f t="shared" ca="1" si="7"/>
        <v>42000.000000001768</v>
      </c>
      <c r="I17" s="8">
        <f t="shared" ca="1" si="8"/>
        <v>30353</v>
      </c>
      <c r="J17" s="3" t="s">
        <v>5</v>
      </c>
      <c r="K17" s="3" t="s">
        <v>9</v>
      </c>
      <c r="L17" s="3" t="s">
        <v>10</v>
      </c>
      <c r="M17" s="3">
        <v>0</v>
      </c>
    </row>
    <row r="18" spans="1:13" x14ac:dyDescent="0.35">
      <c r="A18" s="3" t="s">
        <v>43</v>
      </c>
      <c r="B18" s="3" t="s">
        <v>30</v>
      </c>
      <c r="C18" t="s">
        <v>122</v>
      </c>
      <c r="D18" s="6" t="s">
        <v>26</v>
      </c>
      <c r="E18" s="7">
        <f t="shared" ca="1" si="9"/>
        <v>0.25184027777777779</v>
      </c>
      <c r="F18" s="7">
        <f ca="1">G16</f>
        <v>0.25184027777777779</v>
      </c>
      <c r="G18" s="7">
        <f t="shared" ca="1" si="3"/>
        <v>0.25270833333333337</v>
      </c>
      <c r="H18" s="8">
        <f t="shared" ca="1" si="7"/>
        <v>75000.000000002125</v>
      </c>
      <c r="I18" s="8">
        <f t="shared" ca="1" si="8"/>
        <v>21463</v>
      </c>
      <c r="J18" s="3" t="s">
        <v>5</v>
      </c>
      <c r="K18" s="3" t="s">
        <v>9</v>
      </c>
      <c r="L18" s="3" t="s">
        <v>10</v>
      </c>
      <c r="M18" s="3">
        <v>0</v>
      </c>
    </row>
    <row r="19" spans="1:13" x14ac:dyDescent="0.35">
      <c r="A19" s="3" t="s">
        <v>44</v>
      </c>
      <c r="B19" s="3" t="s">
        <v>31</v>
      </c>
      <c r="C19" t="s">
        <v>122</v>
      </c>
      <c r="D19" s="6" t="s">
        <v>26</v>
      </c>
      <c r="E19" s="7">
        <f t="shared" ca="1" si="9"/>
        <v>0.25270833333333337</v>
      </c>
      <c r="F19" s="7">
        <f ca="1">IF(G17 &gt; G18, G17, G18)</f>
        <v>0.25270833333333337</v>
      </c>
      <c r="G19" s="7">
        <f t="shared" ca="1" si="3"/>
        <v>0.25408564814814816</v>
      </c>
      <c r="H19" s="8">
        <f t="shared" ca="1" si="7"/>
        <v>118999.99999999782</v>
      </c>
      <c r="I19" s="8">
        <f t="shared" ca="1" si="8"/>
        <v>27814</v>
      </c>
      <c r="J19" s="3" t="s">
        <v>5</v>
      </c>
      <c r="K19" s="3" t="s">
        <v>9</v>
      </c>
      <c r="L19" s="3" t="s">
        <v>10</v>
      </c>
      <c r="M19" s="3">
        <v>0</v>
      </c>
    </row>
    <row r="20" spans="1:13" x14ac:dyDescent="0.35">
      <c r="A20" s="3" t="s">
        <v>45</v>
      </c>
      <c r="B20" s="3" t="s">
        <v>48</v>
      </c>
      <c r="C20" t="s">
        <v>123</v>
      </c>
      <c r="D20" s="3" t="s">
        <v>24</v>
      </c>
      <c r="E20" s="7">
        <f>JobGroupExecutions!D5</f>
        <v>0.58333333333333337</v>
      </c>
      <c r="F20" s="7">
        <f>IF(JobGroupExecutions!D5 &gt; ResourceAvailabilityEvents!D11, JobGroupExecutions!D5, ResourceAvailabilityEvents!D11)</f>
        <v>0.58333333333333337</v>
      </c>
      <c r="G20" s="7">
        <f ca="1" xml:space="preserve"> F20 + RANDBETWEEN(280, 400) / 86400</f>
        <v>0.58674768518518527</v>
      </c>
      <c r="H20" s="8">
        <f ca="1">(G20 - F20) * 86400000</f>
        <v>295000.00000000454</v>
      </c>
      <c r="I20" s="8">
        <f ca="1">RANDBETWEEN(90000, 120000)</f>
        <v>117884</v>
      </c>
      <c r="J20" s="3" t="s">
        <v>5</v>
      </c>
      <c r="K20" s="3" t="s">
        <v>9</v>
      </c>
      <c r="L20" s="3" t="s">
        <v>10</v>
      </c>
      <c r="M20" s="3">
        <v>0</v>
      </c>
    </row>
    <row r="21" spans="1:13" x14ac:dyDescent="0.35">
      <c r="A21" s="3" t="s">
        <v>46</v>
      </c>
      <c r="B21" s="3" t="s">
        <v>49</v>
      </c>
      <c r="C21" t="s">
        <v>123</v>
      </c>
      <c r="D21" s="3" t="s">
        <v>24</v>
      </c>
      <c r="E21" s="7">
        <f ca="1">F21</f>
        <v>0.58674768518518527</v>
      </c>
      <c r="F21" s="7">
        <f ca="1">G20</f>
        <v>0.58674768518518527</v>
      </c>
      <c r="G21" s="7">
        <f ca="1" xml:space="preserve"> F21 + RANDBETWEEN(280, 390) / 86400</f>
        <v>0.59094907407407415</v>
      </c>
      <c r="H21" s="8">
        <f t="shared" ref="H21:H28" ca="1" si="10">(G21 - F21) * 86400000</f>
        <v>362999.99999999919</v>
      </c>
      <c r="I21" s="8">
        <f t="shared" ref="I21:I28" ca="1" si="11">RANDBETWEEN(90000, 120000)</f>
        <v>96350</v>
      </c>
      <c r="J21" s="3" t="s">
        <v>5</v>
      </c>
      <c r="K21" s="3" t="s">
        <v>9</v>
      </c>
      <c r="L21" s="3" t="s">
        <v>10</v>
      </c>
      <c r="M21" s="3">
        <v>0</v>
      </c>
    </row>
    <row r="22" spans="1:13" x14ac:dyDescent="0.35">
      <c r="A22" s="3" t="s">
        <v>47</v>
      </c>
      <c r="B22" s="3" t="s">
        <v>50</v>
      </c>
      <c r="C22" t="s">
        <v>123</v>
      </c>
      <c r="D22" s="3" t="s">
        <v>24</v>
      </c>
      <c r="E22" s="7">
        <f t="shared" ref="E22:E28" ca="1" si="12">F22</f>
        <v>0.58674768518518527</v>
      </c>
      <c r="F22" s="7">
        <f ca="1">G20</f>
        <v>0.58674768518518527</v>
      </c>
      <c r="G22" s="7">
        <f ca="1" xml:space="preserve"> F22 + RANDBETWEEN(350, 450) / 86400</f>
        <v>0.59158564814814829</v>
      </c>
      <c r="H22" s="8">
        <f t="shared" ca="1" si="10"/>
        <v>418000.0000000046</v>
      </c>
      <c r="I22" s="8">
        <f t="shared" ca="1" si="11"/>
        <v>115907</v>
      </c>
      <c r="J22" s="3" t="s">
        <v>5</v>
      </c>
      <c r="K22" s="3" t="s">
        <v>9</v>
      </c>
      <c r="L22" s="3" t="s">
        <v>10</v>
      </c>
      <c r="M22" s="3">
        <v>0</v>
      </c>
    </row>
    <row r="23" spans="1:13" x14ac:dyDescent="0.35">
      <c r="A23" s="3" t="s">
        <v>57</v>
      </c>
      <c r="B23" s="3" t="s">
        <v>51</v>
      </c>
      <c r="C23" t="s">
        <v>123</v>
      </c>
      <c r="D23" s="3" t="s">
        <v>24</v>
      </c>
      <c r="E23" s="7">
        <f t="shared" ca="1" si="12"/>
        <v>0.59094907407407415</v>
      </c>
      <c r="F23" s="7">
        <f ca="1">G21</f>
        <v>0.59094907407407415</v>
      </c>
      <c r="G23" s="7">
        <f ca="1" xml:space="preserve"> F23 + RANDBETWEEN(410, 710) / 86400</f>
        <v>0.59577546296296302</v>
      </c>
      <c r="H23" s="8">
        <f t="shared" ca="1" si="10"/>
        <v>416999.99999999802</v>
      </c>
      <c r="I23" s="8">
        <f t="shared" ca="1" si="11"/>
        <v>95009</v>
      </c>
      <c r="J23" s="3" t="s">
        <v>5</v>
      </c>
      <c r="K23" s="3" t="s">
        <v>9</v>
      </c>
      <c r="L23" s="3" t="s">
        <v>10</v>
      </c>
      <c r="M23" s="3">
        <v>0</v>
      </c>
    </row>
    <row r="24" spans="1:13" x14ac:dyDescent="0.35">
      <c r="A24" s="3" t="s">
        <v>58</v>
      </c>
      <c r="B24" s="3" t="s">
        <v>52</v>
      </c>
      <c r="C24" t="s">
        <v>123</v>
      </c>
      <c r="D24" s="3" t="s">
        <v>24</v>
      </c>
      <c r="E24" s="7">
        <f t="shared" ca="1" si="12"/>
        <v>0.59158564814814829</v>
      </c>
      <c r="F24" s="7">
        <f ca="1">G22</f>
        <v>0.59158564814814829</v>
      </c>
      <c r="G24" s="7">
        <f ca="1" xml:space="preserve"> F24 + RANDBETWEEN(350, 650) / 86400</f>
        <v>0.59766203703703713</v>
      </c>
      <c r="H24" s="8">
        <f t="shared" ca="1" si="10"/>
        <v>524999.99999999569</v>
      </c>
      <c r="I24" s="8">
        <f t="shared" ca="1" si="11"/>
        <v>115421</v>
      </c>
      <c r="J24" s="3" t="s">
        <v>5</v>
      </c>
      <c r="K24" s="3" t="s">
        <v>9</v>
      </c>
      <c r="L24" s="3" t="s">
        <v>10</v>
      </c>
      <c r="M24" s="3">
        <v>0</v>
      </c>
    </row>
    <row r="25" spans="1:13" x14ac:dyDescent="0.35">
      <c r="A25" s="3" t="s">
        <v>59</v>
      </c>
      <c r="B25" s="3" t="s">
        <v>53</v>
      </c>
      <c r="C25" t="s">
        <v>123</v>
      </c>
      <c r="D25" s="3" t="s">
        <v>24</v>
      </c>
      <c r="E25" s="7">
        <f t="shared" ca="1" si="12"/>
        <v>0.59577546296296302</v>
      </c>
      <c r="F25" s="7">
        <f ca="1">G23</f>
        <v>0.59577546296296302</v>
      </c>
      <c r="G25" s="7">
        <f ca="1" xml:space="preserve"> F25 + RANDBETWEEN(250, 450) / 86400</f>
        <v>0.5993750000000001</v>
      </c>
      <c r="H25" s="8">
        <f t="shared" ca="1" si="10"/>
        <v>311000.00000000384</v>
      </c>
      <c r="I25" s="8">
        <f t="shared" ca="1" si="11"/>
        <v>91940</v>
      </c>
      <c r="J25" s="3" t="s">
        <v>5</v>
      </c>
      <c r="K25" s="3" t="s">
        <v>9</v>
      </c>
      <c r="L25" s="3" t="s">
        <v>10</v>
      </c>
      <c r="M25" s="3">
        <v>0</v>
      </c>
    </row>
    <row r="26" spans="1:13" x14ac:dyDescent="0.35">
      <c r="A26" s="3" t="s">
        <v>60</v>
      </c>
      <c r="B26" s="3" t="s">
        <v>54</v>
      </c>
      <c r="C26" t="s">
        <v>123</v>
      </c>
      <c r="D26" s="3" t="s">
        <v>24</v>
      </c>
      <c r="E26" s="7">
        <f t="shared" ca="1" si="12"/>
        <v>0.59766203703703713</v>
      </c>
      <c r="F26" s="7">
        <f ca="1">G24</f>
        <v>0.59766203703703713</v>
      </c>
      <c r="G26" s="7">
        <f ca="1" xml:space="preserve"> F26 + RANDBETWEEN(250, 450) / 86400</f>
        <v>0.6014236111111112</v>
      </c>
      <c r="H26" s="8">
        <f t="shared" ca="1" si="10"/>
        <v>324999.99999999965</v>
      </c>
      <c r="I26" s="8">
        <f t="shared" ca="1" si="11"/>
        <v>100051</v>
      </c>
      <c r="J26" s="3" t="s">
        <v>5</v>
      </c>
      <c r="K26" s="3" t="s">
        <v>9</v>
      </c>
      <c r="L26" s="3" t="s">
        <v>10</v>
      </c>
      <c r="M26" s="3">
        <v>0</v>
      </c>
    </row>
    <row r="27" spans="1:13" x14ac:dyDescent="0.35">
      <c r="A27" s="3" t="s">
        <v>61</v>
      </c>
      <c r="B27" s="3" t="s">
        <v>56</v>
      </c>
      <c r="C27" t="s">
        <v>123</v>
      </c>
      <c r="D27" s="3" t="s">
        <v>24</v>
      </c>
      <c r="E27" s="7">
        <f t="shared" ca="1" si="12"/>
        <v>0.6014236111111112</v>
      </c>
      <c r="F27" s="7">
        <f ca="1">G26</f>
        <v>0.6014236111111112</v>
      </c>
      <c r="G27" s="7">
        <f ca="1" xml:space="preserve"> F27 + RANDBETWEEN(250, 450) / 86400</f>
        <v>0.60663194444444457</v>
      </c>
      <c r="H27" s="8">
        <f t="shared" ca="1" si="10"/>
        <v>450000.0000000032</v>
      </c>
      <c r="I27" s="8">
        <f t="shared" ca="1" si="11"/>
        <v>99442</v>
      </c>
      <c r="J27" s="3" t="s">
        <v>5</v>
      </c>
      <c r="K27" s="3" t="s">
        <v>9</v>
      </c>
      <c r="L27" s="3" t="s">
        <v>10</v>
      </c>
      <c r="M27" s="3">
        <v>0</v>
      </c>
    </row>
    <row r="28" spans="1:13" x14ac:dyDescent="0.35">
      <c r="A28" s="3" t="s">
        <v>62</v>
      </c>
      <c r="B28" s="3" t="s">
        <v>55</v>
      </c>
      <c r="C28" t="s">
        <v>123</v>
      </c>
      <c r="D28" s="3" t="s">
        <v>24</v>
      </c>
      <c r="E28" s="7">
        <f t="shared" ca="1" si="12"/>
        <v>0.60663194444444457</v>
      </c>
      <c r="F28" s="7">
        <f ca="1">IF(G25 &gt; G27, G25, G27)</f>
        <v>0.60663194444444457</v>
      </c>
      <c r="G28" s="7">
        <f ca="1" xml:space="preserve"> F28 + RANDBETWEEN(150, 350) / 86400</f>
        <v>0.60993055555555564</v>
      </c>
      <c r="H28" s="8">
        <f t="shared" ca="1" si="10"/>
        <v>284999.99999999657</v>
      </c>
      <c r="I28" s="8">
        <f t="shared" ca="1" si="11"/>
        <v>97176</v>
      </c>
      <c r="J28" s="3" t="s">
        <v>5</v>
      </c>
      <c r="K28" s="3" t="s">
        <v>9</v>
      </c>
      <c r="L28" s="3" t="s">
        <v>10</v>
      </c>
      <c r="M28" s="3">
        <v>0</v>
      </c>
    </row>
    <row r="29" spans="1:13" x14ac:dyDescent="0.35">
      <c r="A29" s="3" t="s">
        <v>63</v>
      </c>
      <c r="B29" s="3" t="s">
        <v>48</v>
      </c>
      <c r="C29" t="s">
        <v>124</v>
      </c>
      <c r="D29" s="3" t="s">
        <v>25</v>
      </c>
      <c r="E29" s="7">
        <f>JobGroupExecutions!D6</f>
        <v>0.58333333333333337</v>
      </c>
      <c r="F29" s="7">
        <f>IF(JobGroupExecutions!D6 &gt; ResourceAvailabilityEvents!D12, JobGroupExecutions!D6, ResourceAvailabilityEvents!D12)</f>
        <v>0.58333333333333337</v>
      </c>
      <c r="G29" s="7">
        <f ca="1" xml:space="preserve"> F29 + RANDBETWEEN(280, 400) / 86400</f>
        <v>0.58664351851851859</v>
      </c>
      <c r="H29" s="8">
        <f ca="1">(G29 - F29) * 86400000</f>
        <v>286000.00000000314</v>
      </c>
      <c r="I29" s="8">
        <f ca="1">RANDBETWEEN(20000, 30000)</f>
        <v>23886</v>
      </c>
      <c r="J29" s="3" t="s">
        <v>5</v>
      </c>
      <c r="K29" s="3" t="s">
        <v>9</v>
      </c>
      <c r="L29" s="3" t="s">
        <v>10</v>
      </c>
      <c r="M29" s="3">
        <v>0</v>
      </c>
    </row>
    <row r="30" spans="1:13" x14ac:dyDescent="0.35">
      <c r="A30" s="3" t="s">
        <v>64</v>
      </c>
      <c r="B30" s="3" t="s">
        <v>49</v>
      </c>
      <c r="C30" t="s">
        <v>124</v>
      </c>
      <c r="D30" s="3" t="s">
        <v>25</v>
      </c>
      <c r="E30" s="7">
        <f ca="1">F30</f>
        <v>0.58664351851851859</v>
      </c>
      <c r="F30" s="7">
        <f ca="1">G29</f>
        <v>0.58664351851851859</v>
      </c>
      <c r="G30" s="7">
        <f ca="1" xml:space="preserve"> F30 + RANDBETWEEN(280, 390) / 86400</f>
        <v>0.59074074074074079</v>
      </c>
      <c r="H30" s="8">
        <f t="shared" ref="H30:H37" ca="1" si="13">(G30 - F30) * 86400000</f>
        <v>353999.99999999779</v>
      </c>
      <c r="I30" s="8">
        <f t="shared" ref="I30:I37" ca="1" si="14">RANDBETWEEN(20000, 30000)</f>
        <v>23913</v>
      </c>
      <c r="J30" s="3" t="s">
        <v>5</v>
      </c>
      <c r="K30" s="3" t="s">
        <v>9</v>
      </c>
      <c r="L30" s="3" t="s">
        <v>10</v>
      </c>
      <c r="M30" s="3">
        <v>0</v>
      </c>
    </row>
    <row r="31" spans="1:13" x14ac:dyDescent="0.35">
      <c r="A31" s="3" t="s">
        <v>65</v>
      </c>
      <c r="B31" s="3" t="s">
        <v>50</v>
      </c>
      <c r="C31" t="s">
        <v>124</v>
      </c>
      <c r="D31" s="3" t="s">
        <v>25</v>
      </c>
      <c r="E31" s="7">
        <f t="shared" ref="E31:E37" ca="1" si="15">F31</f>
        <v>0.58664351851851859</v>
      </c>
      <c r="F31" s="7">
        <f ca="1">G29</f>
        <v>0.58664351851851859</v>
      </c>
      <c r="G31" s="7">
        <f ca="1" xml:space="preserve"> F31 + RANDBETWEEN(350, 450) / 86400</f>
        <v>0.59113425925925933</v>
      </c>
      <c r="H31" s="8">
        <f t="shared" ca="1" si="13"/>
        <v>387999.99999999988</v>
      </c>
      <c r="I31" s="8">
        <f t="shared" ca="1" si="14"/>
        <v>22230</v>
      </c>
      <c r="J31" s="3" t="s">
        <v>5</v>
      </c>
      <c r="K31" s="3" t="s">
        <v>9</v>
      </c>
      <c r="L31" s="3" t="s">
        <v>10</v>
      </c>
      <c r="M31" s="3">
        <v>0</v>
      </c>
    </row>
    <row r="32" spans="1:13" x14ac:dyDescent="0.35">
      <c r="A32" s="3" t="s">
        <v>66</v>
      </c>
      <c r="B32" s="3" t="s">
        <v>51</v>
      </c>
      <c r="C32" t="s">
        <v>124</v>
      </c>
      <c r="D32" s="3" t="s">
        <v>25</v>
      </c>
      <c r="E32" s="7">
        <f t="shared" ca="1" si="15"/>
        <v>0.59074074074074079</v>
      </c>
      <c r="F32" s="7">
        <f ca="1">G30</f>
        <v>0.59074074074074079</v>
      </c>
      <c r="G32" s="7">
        <f ca="1" xml:space="preserve"> F32 + RANDBETWEEN(410, 710) / 86400</f>
        <v>0.59703703703703703</v>
      </c>
      <c r="H32" s="8">
        <f t="shared" ca="1" si="13"/>
        <v>543999.99999999546</v>
      </c>
      <c r="I32" s="8">
        <f t="shared" ca="1" si="14"/>
        <v>22839</v>
      </c>
      <c r="J32" s="3" t="s">
        <v>5</v>
      </c>
      <c r="K32" s="3" t="s">
        <v>9</v>
      </c>
      <c r="L32" s="3" t="s">
        <v>10</v>
      </c>
      <c r="M32" s="3">
        <v>0</v>
      </c>
    </row>
    <row r="33" spans="1:13" x14ac:dyDescent="0.35">
      <c r="A33" s="3" t="s">
        <v>67</v>
      </c>
      <c r="B33" s="3" t="s">
        <v>52</v>
      </c>
      <c r="C33" t="s">
        <v>124</v>
      </c>
      <c r="D33" s="3" t="s">
        <v>25</v>
      </c>
      <c r="E33" s="7">
        <f t="shared" ca="1" si="15"/>
        <v>0.59113425925925933</v>
      </c>
      <c r="F33" s="7">
        <f ca="1">G31</f>
        <v>0.59113425925925933</v>
      </c>
      <c r="G33" s="7">
        <f ca="1" xml:space="preserve"> F33 + RANDBETWEEN(350, 650) / 86400</f>
        <v>0.59733796296296304</v>
      </c>
      <c r="H33" s="8">
        <f t="shared" ca="1" si="13"/>
        <v>536000.0000000007</v>
      </c>
      <c r="I33" s="8">
        <f t="shared" ca="1" si="14"/>
        <v>28149</v>
      </c>
      <c r="J33" s="3" t="s">
        <v>5</v>
      </c>
      <c r="K33" s="3" t="s">
        <v>9</v>
      </c>
      <c r="L33" s="3" t="s">
        <v>10</v>
      </c>
      <c r="M33" s="3">
        <v>0</v>
      </c>
    </row>
    <row r="34" spans="1:13" x14ac:dyDescent="0.35">
      <c r="A34" s="3" t="s">
        <v>68</v>
      </c>
      <c r="B34" s="3" t="s">
        <v>53</v>
      </c>
      <c r="C34" t="s">
        <v>124</v>
      </c>
      <c r="D34" s="3" t="s">
        <v>25</v>
      </c>
      <c r="E34" s="7">
        <f t="shared" ca="1" si="15"/>
        <v>0.59703703703703703</v>
      </c>
      <c r="F34" s="7">
        <f ca="1">G32</f>
        <v>0.59703703703703703</v>
      </c>
      <c r="G34" s="7">
        <f ca="1" xml:space="preserve"> F34 + RANDBETWEEN(250, 450) / 86400</f>
        <v>0.60206018518518523</v>
      </c>
      <c r="H34" s="8">
        <f t="shared" ca="1" si="13"/>
        <v>434000.0000000039</v>
      </c>
      <c r="I34" s="8">
        <f t="shared" ca="1" si="14"/>
        <v>27405</v>
      </c>
      <c r="J34" s="3" t="s">
        <v>5</v>
      </c>
      <c r="K34" s="3" t="s">
        <v>9</v>
      </c>
      <c r="L34" s="3" t="s">
        <v>10</v>
      </c>
      <c r="M34" s="3">
        <v>0</v>
      </c>
    </row>
    <row r="35" spans="1:13" x14ac:dyDescent="0.35">
      <c r="A35" s="3" t="s">
        <v>69</v>
      </c>
      <c r="B35" s="3" t="s">
        <v>54</v>
      </c>
      <c r="C35" t="s">
        <v>124</v>
      </c>
      <c r="D35" s="3" t="s">
        <v>25</v>
      </c>
      <c r="E35" s="7">
        <f t="shared" ca="1" si="15"/>
        <v>0.59733796296296304</v>
      </c>
      <c r="F35" s="7">
        <f ca="1">G33</f>
        <v>0.59733796296296304</v>
      </c>
      <c r="G35" s="7">
        <f ca="1" xml:space="preserve"> F35 + RANDBETWEEN(250, 450) / 86400</f>
        <v>0.6012037037037038</v>
      </c>
      <c r="H35" s="8">
        <f t="shared" ca="1" si="13"/>
        <v>334000.00000000105</v>
      </c>
      <c r="I35" s="8">
        <f t="shared" ca="1" si="14"/>
        <v>21010</v>
      </c>
      <c r="J35" s="3" t="s">
        <v>5</v>
      </c>
      <c r="K35" s="3" t="s">
        <v>9</v>
      </c>
      <c r="L35" s="3" t="s">
        <v>10</v>
      </c>
      <c r="M35" s="3">
        <v>0</v>
      </c>
    </row>
    <row r="36" spans="1:13" x14ac:dyDescent="0.35">
      <c r="A36" s="3" t="s">
        <v>70</v>
      </c>
      <c r="B36" s="3" t="s">
        <v>56</v>
      </c>
      <c r="C36" t="s">
        <v>124</v>
      </c>
      <c r="D36" s="3" t="s">
        <v>25</v>
      </c>
      <c r="E36" s="7">
        <f t="shared" ca="1" si="15"/>
        <v>0.6012037037037038</v>
      </c>
      <c r="F36" s="7">
        <f ca="1">G35</f>
        <v>0.6012037037037038</v>
      </c>
      <c r="G36" s="7">
        <f ca="1" xml:space="preserve"> F36 + RANDBETWEEN(250, 450) / 86400</f>
        <v>0.60526620370370376</v>
      </c>
      <c r="H36" s="8">
        <f t="shared" ca="1" si="13"/>
        <v>350999.99999999732</v>
      </c>
      <c r="I36" s="8">
        <f t="shared" ca="1" si="14"/>
        <v>21184</v>
      </c>
      <c r="J36" s="3" t="s">
        <v>5</v>
      </c>
      <c r="K36" s="3" t="s">
        <v>9</v>
      </c>
      <c r="L36" s="3" t="s">
        <v>10</v>
      </c>
      <c r="M36" s="3">
        <v>0</v>
      </c>
    </row>
    <row r="37" spans="1:13" x14ac:dyDescent="0.35">
      <c r="A37" s="3" t="s">
        <v>71</v>
      </c>
      <c r="B37" s="3" t="s">
        <v>55</v>
      </c>
      <c r="C37" t="s">
        <v>124</v>
      </c>
      <c r="D37" s="3" t="s">
        <v>25</v>
      </c>
      <c r="E37" s="7">
        <f t="shared" ca="1" si="15"/>
        <v>0.60526620370370376</v>
      </c>
      <c r="F37" s="7">
        <f ca="1">IF(G34 &gt; G36, G34, G36)</f>
        <v>0.60526620370370376</v>
      </c>
      <c r="G37" s="7">
        <f ca="1" xml:space="preserve"> F37 + RANDBETWEEN(150, 350) / 86400</f>
        <v>0.60929398148148151</v>
      </c>
      <c r="H37" s="8">
        <f t="shared" ca="1" si="13"/>
        <v>347999.99999999686</v>
      </c>
      <c r="I37" s="8">
        <f t="shared" ca="1" si="14"/>
        <v>25302</v>
      </c>
      <c r="J37" s="3" t="s">
        <v>5</v>
      </c>
      <c r="K37" s="3" t="s">
        <v>9</v>
      </c>
      <c r="L37" s="3" t="s">
        <v>10</v>
      </c>
      <c r="M37" s="3">
        <v>0</v>
      </c>
    </row>
    <row r="38" spans="1:13" x14ac:dyDescent="0.35">
      <c r="A38" s="3" t="s">
        <v>72</v>
      </c>
      <c r="B38" s="3" t="s">
        <v>48</v>
      </c>
      <c r="C38" t="s">
        <v>125</v>
      </c>
      <c r="D38" s="6" t="s">
        <v>26</v>
      </c>
      <c r="E38" s="7">
        <f>JobGroupExecutions!D7</f>
        <v>0.58333333333333337</v>
      </c>
      <c r="F38" s="7">
        <f>IF(JobGroupExecutions!D7 &gt; ResourceAvailabilityEvents!D13, JobGroupExecutions!D7, ResourceAvailabilityEvents!D13)</f>
        <v>0.58333333333333337</v>
      </c>
      <c r="G38" s="7">
        <f ca="1" xml:space="preserve"> F38 + RANDBETWEEN(280, 400) / 86400</f>
        <v>0.58744212962962972</v>
      </c>
      <c r="H38" s="8">
        <f ca="1">(G38 - F38) * 86400000</f>
        <v>355000.00000000431</v>
      </c>
      <c r="I38" s="8">
        <f ca="1">RANDBETWEEN(30000, 40000)</f>
        <v>36517</v>
      </c>
      <c r="J38" s="3" t="s">
        <v>5</v>
      </c>
      <c r="K38" s="3" t="s">
        <v>9</v>
      </c>
      <c r="L38" s="3" t="s">
        <v>10</v>
      </c>
      <c r="M38" s="3">
        <v>0</v>
      </c>
    </row>
    <row r="39" spans="1:13" x14ac:dyDescent="0.35">
      <c r="A39" s="3" t="s">
        <v>73</v>
      </c>
      <c r="B39" s="3" t="s">
        <v>49</v>
      </c>
      <c r="C39" t="s">
        <v>125</v>
      </c>
      <c r="D39" s="6" t="s">
        <v>26</v>
      </c>
      <c r="E39" s="7">
        <f ca="1">F39</f>
        <v>0.58744212962962972</v>
      </c>
      <c r="F39" s="7">
        <f ca="1">G38</f>
        <v>0.58744212962962972</v>
      </c>
      <c r="G39" s="7">
        <f ca="1" xml:space="preserve"> F39 + RANDBETWEEN(280, 390) / 86400</f>
        <v>0.59084490740740747</v>
      </c>
      <c r="H39" s="8">
        <f t="shared" ref="H39:H55" ca="1" si="16">(G39 - F39) * 86400000</f>
        <v>293999.99999999802</v>
      </c>
      <c r="I39" s="8">
        <f t="shared" ref="I39:I46" ca="1" si="17">RANDBETWEEN(30000, 40000)</f>
        <v>34313</v>
      </c>
      <c r="J39" s="3" t="s">
        <v>5</v>
      </c>
      <c r="K39" s="3" t="s">
        <v>9</v>
      </c>
      <c r="L39" s="3" t="s">
        <v>10</v>
      </c>
      <c r="M39" s="3">
        <v>0</v>
      </c>
    </row>
    <row r="40" spans="1:13" x14ac:dyDescent="0.35">
      <c r="A40" s="3" t="s">
        <v>74</v>
      </c>
      <c r="B40" s="3" t="s">
        <v>50</v>
      </c>
      <c r="C40" t="s">
        <v>125</v>
      </c>
      <c r="D40" s="6" t="s">
        <v>26</v>
      </c>
      <c r="E40" s="7">
        <f t="shared" ref="E40:E46" ca="1" si="18">F40</f>
        <v>0.58744212962962972</v>
      </c>
      <c r="F40" s="7">
        <f ca="1">G38</f>
        <v>0.58744212962962972</v>
      </c>
      <c r="G40" s="7">
        <f ca="1" xml:space="preserve"> F40 + RANDBETWEEN(350, 450) / 86400</f>
        <v>0.59248842592592599</v>
      </c>
      <c r="H40" s="8">
        <f t="shared" ca="1" si="16"/>
        <v>435999.99999999779</v>
      </c>
      <c r="I40" s="8">
        <f t="shared" ca="1" si="17"/>
        <v>36661</v>
      </c>
      <c r="J40" s="3" t="s">
        <v>5</v>
      </c>
      <c r="K40" s="3" t="s">
        <v>9</v>
      </c>
      <c r="L40" s="3" t="s">
        <v>10</v>
      </c>
      <c r="M40" s="3">
        <v>0</v>
      </c>
    </row>
    <row r="41" spans="1:13" x14ac:dyDescent="0.35">
      <c r="A41" s="3" t="s">
        <v>75</v>
      </c>
      <c r="B41" s="3" t="s">
        <v>51</v>
      </c>
      <c r="C41" t="s">
        <v>125</v>
      </c>
      <c r="D41" s="6" t="s">
        <v>26</v>
      </c>
      <c r="E41" s="7">
        <f t="shared" ca="1" si="18"/>
        <v>0.59084490740740747</v>
      </c>
      <c r="F41" s="7">
        <f ca="1">G39</f>
        <v>0.59084490740740747</v>
      </c>
      <c r="G41" s="7">
        <f ca="1" xml:space="preserve"> F41 + RANDBETWEEN(410, 710) / 86400</f>
        <v>0.59892361111111114</v>
      </c>
      <c r="H41" s="8">
        <f t="shared" ca="1" si="16"/>
        <v>697999.99999999721</v>
      </c>
      <c r="I41" s="8">
        <f t="shared" ca="1" si="17"/>
        <v>38562</v>
      </c>
      <c r="J41" s="3" t="s">
        <v>5</v>
      </c>
      <c r="K41" s="3" t="s">
        <v>9</v>
      </c>
      <c r="L41" s="3" t="s">
        <v>10</v>
      </c>
      <c r="M41" s="3">
        <v>0</v>
      </c>
    </row>
    <row r="42" spans="1:13" x14ac:dyDescent="0.35">
      <c r="A42" s="3" t="s">
        <v>76</v>
      </c>
      <c r="B42" s="3" t="s">
        <v>52</v>
      </c>
      <c r="C42" t="s">
        <v>125</v>
      </c>
      <c r="D42" s="6" t="s">
        <v>26</v>
      </c>
      <c r="E42" s="7">
        <f t="shared" ca="1" si="18"/>
        <v>0.59248842592592599</v>
      </c>
      <c r="F42" s="7">
        <f ca="1">G40</f>
        <v>0.59248842592592599</v>
      </c>
      <c r="G42" s="7">
        <f ca="1" xml:space="preserve"> F42 + RANDBETWEEN(350, 650) / 86400</f>
        <v>0.59974537037037046</v>
      </c>
      <c r="H42" s="8">
        <f t="shared" ca="1" si="16"/>
        <v>627000.0000000021</v>
      </c>
      <c r="I42" s="8">
        <f t="shared" ca="1" si="17"/>
        <v>31372</v>
      </c>
      <c r="J42" s="3" t="s">
        <v>5</v>
      </c>
      <c r="K42" s="3" t="s">
        <v>9</v>
      </c>
      <c r="L42" s="3" t="s">
        <v>10</v>
      </c>
      <c r="M42" s="3">
        <v>0</v>
      </c>
    </row>
    <row r="43" spans="1:13" x14ac:dyDescent="0.35">
      <c r="A43" s="3" t="s">
        <v>77</v>
      </c>
      <c r="B43" s="3" t="s">
        <v>53</v>
      </c>
      <c r="C43" t="s">
        <v>125</v>
      </c>
      <c r="D43" s="6" t="s">
        <v>26</v>
      </c>
      <c r="E43" s="7">
        <f t="shared" ca="1" si="18"/>
        <v>0.59892361111111114</v>
      </c>
      <c r="F43" s="7">
        <f ca="1">G41</f>
        <v>0.59892361111111114</v>
      </c>
      <c r="G43" s="7">
        <f ca="1" xml:space="preserve"> F43 + RANDBETWEEN(250, 450) / 86400</f>
        <v>0.60321759259259267</v>
      </c>
      <c r="H43" s="8">
        <f t="shared" ca="1" si="16"/>
        <v>371000.00000000361</v>
      </c>
      <c r="I43" s="8">
        <f t="shared" ca="1" si="17"/>
        <v>30399</v>
      </c>
      <c r="J43" s="3" t="s">
        <v>5</v>
      </c>
      <c r="K43" s="3" t="s">
        <v>9</v>
      </c>
      <c r="L43" s="3" t="s">
        <v>10</v>
      </c>
      <c r="M43" s="3">
        <v>0</v>
      </c>
    </row>
    <row r="44" spans="1:13" x14ac:dyDescent="0.35">
      <c r="A44" s="3" t="s">
        <v>78</v>
      </c>
      <c r="B44" s="3" t="s">
        <v>54</v>
      </c>
      <c r="C44" t="s">
        <v>125</v>
      </c>
      <c r="D44" s="6" t="s">
        <v>26</v>
      </c>
      <c r="E44" s="7">
        <f t="shared" ca="1" si="18"/>
        <v>0.59974537037037046</v>
      </c>
      <c r="F44" s="7">
        <f ca="1">G42</f>
        <v>0.59974537037037046</v>
      </c>
      <c r="G44" s="7">
        <f ca="1" xml:space="preserve"> F44 + RANDBETWEEN(250, 450) / 86400</f>
        <v>0.60472222222222227</v>
      </c>
      <c r="H44" s="8">
        <f t="shared" ca="1" si="16"/>
        <v>429999.99999999686</v>
      </c>
      <c r="I44" s="8">
        <f t="shared" ca="1" si="17"/>
        <v>38868</v>
      </c>
      <c r="J44" s="3" t="s">
        <v>5</v>
      </c>
      <c r="K44" s="3" t="s">
        <v>9</v>
      </c>
      <c r="L44" s="3" t="s">
        <v>10</v>
      </c>
      <c r="M44" s="3">
        <v>0</v>
      </c>
    </row>
    <row r="45" spans="1:13" x14ac:dyDescent="0.35">
      <c r="A45" s="3" t="s">
        <v>79</v>
      </c>
      <c r="B45" s="3" t="s">
        <v>56</v>
      </c>
      <c r="C45" t="s">
        <v>125</v>
      </c>
      <c r="D45" s="6" t="s">
        <v>26</v>
      </c>
      <c r="E45" s="7">
        <f t="shared" ca="1" si="18"/>
        <v>0.60472222222222227</v>
      </c>
      <c r="F45" s="7">
        <f ca="1">G44</f>
        <v>0.60472222222222227</v>
      </c>
      <c r="G45" s="7">
        <f ca="1" xml:space="preserve"> F45 + RANDBETWEEN(250, 450) / 86400</f>
        <v>0.60892361111111115</v>
      </c>
      <c r="H45" s="8">
        <f t="shared" ca="1" si="16"/>
        <v>362999.99999999919</v>
      </c>
      <c r="I45" s="8">
        <f t="shared" ca="1" si="17"/>
        <v>37608</v>
      </c>
      <c r="J45" s="3" t="s">
        <v>5</v>
      </c>
      <c r="K45" s="3" t="s">
        <v>9</v>
      </c>
      <c r="L45" s="3" t="s">
        <v>10</v>
      </c>
      <c r="M45" s="3">
        <v>0</v>
      </c>
    </row>
    <row r="46" spans="1:13" x14ac:dyDescent="0.35">
      <c r="A46" s="3" t="s">
        <v>80</v>
      </c>
      <c r="B46" s="3" t="s">
        <v>55</v>
      </c>
      <c r="C46" t="s">
        <v>125</v>
      </c>
      <c r="D46" s="6" t="s">
        <v>26</v>
      </c>
      <c r="E46" s="7">
        <f t="shared" ca="1" si="18"/>
        <v>0.60892361111111115</v>
      </c>
      <c r="F46" s="7">
        <f ca="1">IF(G43 &gt; G45, G43, G45)</f>
        <v>0.60892361111111115</v>
      </c>
      <c r="G46" s="7">
        <f ca="1" xml:space="preserve"> F46 + RANDBETWEEN(150, 350) / 86400</f>
        <v>0.61168981481481488</v>
      </c>
      <c r="H46" s="8">
        <f t="shared" ca="1" si="16"/>
        <v>239000.00000000218</v>
      </c>
      <c r="I46" s="8">
        <f t="shared" ca="1" si="17"/>
        <v>36870</v>
      </c>
      <c r="J46" s="3" t="s">
        <v>5</v>
      </c>
      <c r="K46" s="3" t="s">
        <v>9</v>
      </c>
      <c r="L46" s="3" t="s">
        <v>10</v>
      </c>
      <c r="M46" s="3">
        <v>0</v>
      </c>
    </row>
    <row r="47" spans="1:13" x14ac:dyDescent="0.35">
      <c r="A47" s="3" t="s">
        <v>90</v>
      </c>
      <c r="B47" s="3" t="s">
        <v>81</v>
      </c>
      <c r="C47" t="s">
        <v>126</v>
      </c>
      <c r="D47" s="3" t="s">
        <v>24</v>
      </c>
      <c r="E47" s="7">
        <f>JobGroupExecutions!D8</f>
        <v>0.875</v>
      </c>
      <c r="F47" s="7">
        <f>IF(JobGroupExecutions!D8 &gt; ResourceAvailabilityEvents!D5, JobGroupExecutions!D8, ResourceAvailabilityEvents!D5)</f>
        <v>0.875</v>
      </c>
      <c r="G47" s="7">
        <f ca="1" xml:space="preserve"> F47 + RANDBETWEEN(250, 450) / 86400</f>
        <v>0.87951388888888893</v>
      </c>
      <c r="H47" s="8">
        <f t="shared" ca="1" si="16"/>
        <v>390000.00000000343</v>
      </c>
      <c r="I47" s="8">
        <f ca="1">RANDBETWEEN(100000, 120000)</f>
        <v>117277</v>
      </c>
      <c r="J47" s="3" t="s">
        <v>5</v>
      </c>
      <c r="K47" s="3" t="s">
        <v>9</v>
      </c>
      <c r="L47" s="3" t="s">
        <v>10</v>
      </c>
      <c r="M47" s="3">
        <v>0</v>
      </c>
    </row>
    <row r="48" spans="1:13" x14ac:dyDescent="0.35">
      <c r="A48" s="3" t="s">
        <v>91</v>
      </c>
      <c r="B48" s="3" t="s">
        <v>82</v>
      </c>
      <c r="C48" t="s">
        <v>126</v>
      </c>
      <c r="D48" s="3" t="s">
        <v>24</v>
      </c>
      <c r="E48" s="7">
        <f ca="1">F48</f>
        <v>0.87951388888888893</v>
      </c>
      <c r="F48" s="7">
        <f ca="1">G47</f>
        <v>0.87951388888888893</v>
      </c>
      <c r="G48" s="7">
        <f t="shared" ref="G48:G73" ca="1" si="19" xml:space="preserve"> F48 + RANDBETWEEN(150, 350) / 86400</f>
        <v>0.8819097222222223</v>
      </c>
      <c r="H48" s="8">
        <f t="shared" ca="1" si="16"/>
        <v>207000.00000000358</v>
      </c>
      <c r="I48" s="8">
        <f t="shared" ref="I48:I55" ca="1" si="20">RANDBETWEEN(100000, 120000)</f>
        <v>119878</v>
      </c>
      <c r="J48" s="3" t="s">
        <v>5</v>
      </c>
      <c r="K48" s="3" t="s">
        <v>9</v>
      </c>
      <c r="L48" s="3" t="s">
        <v>10</v>
      </c>
      <c r="M48" s="3">
        <v>0</v>
      </c>
    </row>
    <row r="49" spans="1:13" x14ac:dyDescent="0.35">
      <c r="A49" s="3" t="s">
        <v>92</v>
      </c>
      <c r="B49" s="3" t="s">
        <v>83</v>
      </c>
      <c r="C49" t="s">
        <v>126</v>
      </c>
      <c r="D49" s="3" t="s">
        <v>24</v>
      </c>
      <c r="E49" s="7">
        <f t="shared" ref="E49:E55" ca="1" si="21">F49</f>
        <v>0.87951388888888893</v>
      </c>
      <c r="F49" s="7">
        <f ca="1">G47</f>
        <v>0.87951388888888893</v>
      </c>
      <c r="G49" s="7">
        <f ca="1" xml:space="preserve"> F49 + RANDBETWEEN(300, 500) / 86400</f>
        <v>0.88460648148148158</v>
      </c>
      <c r="H49" s="8">
        <f t="shared" ca="1" si="16"/>
        <v>440000.00000000483</v>
      </c>
      <c r="I49" s="8">
        <f t="shared" ca="1" si="20"/>
        <v>104400</v>
      </c>
      <c r="J49" s="3" t="s">
        <v>5</v>
      </c>
      <c r="K49" s="3" t="s">
        <v>9</v>
      </c>
      <c r="L49" s="3" t="s">
        <v>10</v>
      </c>
      <c r="M49" s="3">
        <v>0</v>
      </c>
    </row>
    <row r="50" spans="1:13" x14ac:dyDescent="0.35">
      <c r="A50" s="3" t="s">
        <v>93</v>
      </c>
      <c r="B50" s="3" t="s">
        <v>84</v>
      </c>
      <c r="C50" t="s">
        <v>126</v>
      </c>
      <c r="D50" s="3" t="s">
        <v>24</v>
      </c>
      <c r="E50" s="7">
        <f ca="1">IF(G48 &gt; G49, G48, G49)</f>
        <v>0.88460648148148158</v>
      </c>
      <c r="F50" s="7">
        <f ca="1">IF((IF(G48 &gt; G49, G48, G49)) &gt; ResourceAvailabilityEvents!D17, (IF(G48 &gt; G49, G48, G49)), ResourceAvailabilityEvents!D17)</f>
        <v>0.89930555555555558</v>
      </c>
      <c r="G50" s="7">
        <f ca="1" xml:space="preserve"> F50 + RANDBETWEEN(450, 750) / 86400</f>
        <v>0.90714120370370377</v>
      </c>
      <c r="H50" s="8">
        <f t="shared" ca="1" si="16"/>
        <v>677000.00000000349</v>
      </c>
      <c r="I50" s="8">
        <f t="shared" ca="1" si="20"/>
        <v>115953</v>
      </c>
      <c r="J50" s="3" t="s">
        <v>5</v>
      </c>
      <c r="K50" s="3" t="s">
        <v>9</v>
      </c>
      <c r="L50" s="3" t="s">
        <v>10</v>
      </c>
      <c r="M50" s="3">
        <v>0</v>
      </c>
    </row>
    <row r="51" spans="1:13" x14ac:dyDescent="0.35">
      <c r="A51" s="3" t="s">
        <v>94</v>
      </c>
      <c r="B51" s="3" t="s">
        <v>85</v>
      </c>
      <c r="C51" t="s">
        <v>126</v>
      </c>
      <c r="D51" s="3" t="s">
        <v>24</v>
      </c>
      <c r="E51" s="7">
        <f t="shared" ca="1" si="21"/>
        <v>0.90714120370370377</v>
      </c>
      <c r="F51" s="7">
        <f ca="1">G50</f>
        <v>0.90714120370370377</v>
      </c>
      <c r="G51" s="7">
        <f ca="1" xml:space="preserve"> F51 + RANDBETWEEN(450, 750) / 86400</f>
        <v>0.91347222222222224</v>
      </c>
      <c r="H51" s="8">
        <f t="shared" ca="1" si="16"/>
        <v>546999.99999999593</v>
      </c>
      <c r="I51" s="8">
        <f t="shared" ca="1" si="20"/>
        <v>110952</v>
      </c>
      <c r="J51" s="3" t="s">
        <v>5</v>
      </c>
      <c r="K51" s="3" t="s">
        <v>9</v>
      </c>
      <c r="L51" s="3" t="s">
        <v>10</v>
      </c>
      <c r="M51" s="3">
        <v>0</v>
      </c>
    </row>
    <row r="52" spans="1:13" x14ac:dyDescent="0.35">
      <c r="A52" s="3" t="s">
        <v>95</v>
      </c>
      <c r="B52" s="3" t="s">
        <v>86</v>
      </c>
      <c r="C52" t="s">
        <v>126</v>
      </c>
      <c r="D52" s="3" t="s">
        <v>24</v>
      </c>
      <c r="E52" s="7">
        <f t="shared" ca="1" si="21"/>
        <v>0.91347222222222224</v>
      </c>
      <c r="F52" s="7">
        <f t="shared" ref="F52:F55" ca="1" si="22">G51</f>
        <v>0.91347222222222224</v>
      </c>
      <c r="G52" s="7">
        <f ca="1" xml:space="preserve"> F52 + RANDBETWEEN(200, 400) / 86400</f>
        <v>0.91758101851851859</v>
      </c>
      <c r="H52" s="8">
        <f t="shared" ca="1" si="16"/>
        <v>355000.00000000431</v>
      </c>
      <c r="I52" s="8">
        <f t="shared" ca="1" si="20"/>
        <v>114727</v>
      </c>
      <c r="J52" s="3" t="s">
        <v>5</v>
      </c>
      <c r="K52" s="3" t="s">
        <v>9</v>
      </c>
      <c r="L52" s="3" t="s">
        <v>10</v>
      </c>
      <c r="M52" s="3">
        <v>0</v>
      </c>
    </row>
    <row r="53" spans="1:13" x14ac:dyDescent="0.35">
      <c r="A53" s="3" t="s">
        <v>96</v>
      </c>
      <c r="B53" s="3" t="s">
        <v>87</v>
      </c>
      <c r="C53" t="s">
        <v>126</v>
      </c>
      <c r="D53" s="3" t="s">
        <v>24</v>
      </c>
      <c r="E53" s="7">
        <f t="shared" ca="1" si="21"/>
        <v>0.91758101851851859</v>
      </c>
      <c r="F53" s="7">
        <f t="shared" ca="1" si="22"/>
        <v>0.91758101851851859</v>
      </c>
      <c r="G53" s="7">
        <f ca="1" xml:space="preserve"> F53 + RANDBETWEEN(200, 400) / 86400</f>
        <v>0.92043981481481485</v>
      </c>
      <c r="H53" s="8">
        <f t="shared" ca="1" si="16"/>
        <v>246999.99999999703</v>
      </c>
      <c r="I53" s="8">
        <f t="shared" ca="1" si="20"/>
        <v>106349</v>
      </c>
      <c r="J53" s="3" t="s">
        <v>5</v>
      </c>
      <c r="K53" s="3" t="s">
        <v>9</v>
      </c>
      <c r="L53" s="3" t="s">
        <v>10</v>
      </c>
      <c r="M53" s="3">
        <v>0</v>
      </c>
    </row>
    <row r="54" spans="1:13" x14ac:dyDescent="0.35">
      <c r="A54" s="3" t="s">
        <v>97</v>
      </c>
      <c r="B54" s="3" t="s">
        <v>88</v>
      </c>
      <c r="C54" t="s">
        <v>126</v>
      </c>
      <c r="D54" s="3" t="s">
        <v>24</v>
      </c>
      <c r="E54" s="7">
        <f t="shared" ca="1" si="21"/>
        <v>0.92043981481481485</v>
      </c>
      <c r="F54" s="7">
        <f t="shared" ca="1" si="22"/>
        <v>0.92043981481481485</v>
      </c>
      <c r="G54" s="7">
        <f ca="1" xml:space="preserve"> F54 + RANDBETWEEN(250, 450) / 86400</f>
        <v>0.92547453703703708</v>
      </c>
      <c r="H54" s="8">
        <f t="shared" ca="1" si="16"/>
        <v>435000.00000000087</v>
      </c>
      <c r="I54" s="8">
        <f t="shared" ca="1" si="20"/>
        <v>113776</v>
      </c>
      <c r="J54" s="3" t="s">
        <v>5</v>
      </c>
      <c r="K54" s="3" t="s">
        <v>9</v>
      </c>
      <c r="L54" s="3" t="s">
        <v>10</v>
      </c>
      <c r="M54" s="3">
        <v>0</v>
      </c>
    </row>
    <row r="55" spans="1:13" x14ac:dyDescent="0.35">
      <c r="A55" s="3" t="s">
        <v>98</v>
      </c>
      <c r="B55" s="3" t="s">
        <v>89</v>
      </c>
      <c r="C55" t="s">
        <v>126</v>
      </c>
      <c r="D55" s="3" t="s">
        <v>24</v>
      </c>
      <c r="E55" s="7">
        <f t="shared" ca="1" si="21"/>
        <v>0.92547453703703708</v>
      </c>
      <c r="F55" s="7">
        <f t="shared" ca="1" si="22"/>
        <v>0.92547453703703708</v>
      </c>
      <c r="G55" s="7">
        <f t="shared" ca="1" si="19"/>
        <v>0.92796296296296299</v>
      </c>
      <c r="H55" s="8">
        <f t="shared" ca="1" si="16"/>
        <v>214999.99999999843</v>
      </c>
      <c r="I55" s="8">
        <f t="shared" ca="1" si="20"/>
        <v>112572</v>
      </c>
      <c r="J55" s="3" t="s">
        <v>5</v>
      </c>
      <c r="K55" s="3" t="s">
        <v>9</v>
      </c>
      <c r="L55" s="3" t="s">
        <v>10</v>
      </c>
      <c r="M55" s="3">
        <v>0</v>
      </c>
    </row>
    <row r="56" spans="1:13" x14ac:dyDescent="0.35">
      <c r="A56" s="3" t="s">
        <v>99</v>
      </c>
      <c r="B56" s="3" t="s">
        <v>81</v>
      </c>
      <c r="C56" t="s">
        <v>127</v>
      </c>
      <c r="D56" s="3" t="s">
        <v>25</v>
      </c>
      <c r="E56" s="7">
        <f>JobGroupExecutions!D9</f>
        <v>0.875</v>
      </c>
      <c r="F56" s="7">
        <f>IF(JobGroupExecutions!D9 &gt; ResourceAvailabilityEvents!D6, JobGroupExecutions!D9, ResourceAvailabilityEvents!D6)</f>
        <v>0.875</v>
      </c>
      <c r="G56" s="7">
        <f ca="1" xml:space="preserve"> F56 + RANDBETWEEN(250, 450) / 86400</f>
        <v>0.87868055555555558</v>
      </c>
      <c r="H56" s="8">
        <f t="shared" ref="H56:H73" ca="1" si="23">(G56 - F56) * 86400000</f>
        <v>318000.00000000175</v>
      </c>
      <c r="I56" s="8">
        <f ca="1">RANDBETWEEN(20000, 30000)</f>
        <v>21896</v>
      </c>
      <c r="J56" s="3" t="s">
        <v>5</v>
      </c>
      <c r="K56" s="3" t="s">
        <v>9</v>
      </c>
      <c r="L56" s="3" t="s">
        <v>10</v>
      </c>
      <c r="M56" s="3">
        <v>0</v>
      </c>
    </row>
    <row r="57" spans="1:13" x14ac:dyDescent="0.35">
      <c r="A57" s="3" t="s">
        <v>100</v>
      </c>
      <c r="B57" s="3" t="s">
        <v>82</v>
      </c>
      <c r="C57" t="s">
        <v>127</v>
      </c>
      <c r="D57" s="3" t="s">
        <v>25</v>
      </c>
      <c r="E57" s="7">
        <f ca="1">F57</f>
        <v>0.87868055555555558</v>
      </c>
      <c r="F57" s="7">
        <f ca="1">G56</f>
        <v>0.87868055555555558</v>
      </c>
      <c r="G57" s="7">
        <f t="shared" ca="1" si="19"/>
        <v>0.88135416666666666</v>
      </c>
      <c r="H57" s="8">
        <f t="shared" ca="1" si="23"/>
        <v>230999.99999999773</v>
      </c>
      <c r="I57" s="8">
        <f t="shared" ref="I57:I64" ca="1" si="24">RANDBETWEEN(20000, 30000)</f>
        <v>29165</v>
      </c>
      <c r="J57" s="3" t="s">
        <v>5</v>
      </c>
      <c r="K57" s="3" t="s">
        <v>9</v>
      </c>
      <c r="L57" s="3" t="s">
        <v>10</v>
      </c>
      <c r="M57" s="3">
        <v>0</v>
      </c>
    </row>
    <row r="58" spans="1:13" x14ac:dyDescent="0.35">
      <c r="A58" s="3" t="s">
        <v>101</v>
      </c>
      <c r="B58" s="3" t="s">
        <v>83</v>
      </c>
      <c r="C58" t="s">
        <v>127</v>
      </c>
      <c r="D58" s="3" t="s">
        <v>25</v>
      </c>
      <c r="E58" s="7">
        <f t="shared" ref="E58:E64" ca="1" si="25">F58</f>
        <v>0.87868055555555558</v>
      </c>
      <c r="F58" s="7">
        <f ca="1">G56</f>
        <v>0.87868055555555558</v>
      </c>
      <c r="G58" s="7">
        <f ca="1" xml:space="preserve"> F58 + RANDBETWEEN(300, 500) / 86400</f>
        <v>0.8825115740740741</v>
      </c>
      <c r="H58" s="8">
        <f t="shared" ca="1" si="23"/>
        <v>331000.00000000058</v>
      </c>
      <c r="I58" s="8">
        <f t="shared" ca="1" si="24"/>
        <v>29199</v>
      </c>
      <c r="J58" s="3" t="s">
        <v>5</v>
      </c>
      <c r="K58" s="3" t="s">
        <v>9</v>
      </c>
      <c r="L58" s="3" t="s">
        <v>10</v>
      </c>
      <c r="M58" s="3">
        <v>0</v>
      </c>
    </row>
    <row r="59" spans="1:13" x14ac:dyDescent="0.35">
      <c r="A59" s="3" t="s">
        <v>102</v>
      </c>
      <c r="B59" s="3" t="s">
        <v>84</v>
      </c>
      <c r="C59" t="s">
        <v>127</v>
      </c>
      <c r="D59" s="3" t="s">
        <v>25</v>
      </c>
      <c r="E59" s="7">
        <f ca="1">IF(G57 &gt; G58, G57, G58)</f>
        <v>0.8825115740740741</v>
      </c>
      <c r="F59" s="7">
        <f ca="1">IF((IF(G57 &gt; G58, G57, G58)) &gt; ResourceAvailabilityEvents!D18, (IF(G57 &gt; G58, G57, G58)), ResourceAvailabilityEvents!D18)</f>
        <v>0.8825115740740741</v>
      </c>
      <c r="G59" s="7">
        <f ca="1" xml:space="preserve"> F59 + RANDBETWEEN(450, 750) / 86400</f>
        <v>0.8892592592592593</v>
      </c>
      <c r="H59" s="8">
        <f t="shared" ca="1" si="23"/>
        <v>583000.00000000163</v>
      </c>
      <c r="I59" s="8">
        <f t="shared" ca="1" si="24"/>
        <v>22231</v>
      </c>
      <c r="J59" s="3" t="s">
        <v>5</v>
      </c>
      <c r="K59" s="3" t="s">
        <v>9</v>
      </c>
      <c r="L59" s="3" t="s">
        <v>10</v>
      </c>
      <c r="M59" s="3">
        <v>0</v>
      </c>
    </row>
    <row r="60" spans="1:13" x14ac:dyDescent="0.35">
      <c r="A60" s="3" t="s">
        <v>103</v>
      </c>
      <c r="B60" s="3" t="s">
        <v>85</v>
      </c>
      <c r="C60" t="s">
        <v>127</v>
      </c>
      <c r="D60" s="3" t="s">
        <v>25</v>
      </c>
      <c r="E60" s="7">
        <f t="shared" ca="1" si="25"/>
        <v>0.8892592592592593</v>
      </c>
      <c r="F60" s="7">
        <f ca="1">G59</f>
        <v>0.8892592592592593</v>
      </c>
      <c r="G60" s="7">
        <f ca="1" xml:space="preserve"> F60 + RANDBETWEEN(450, 750) / 86400</f>
        <v>0.89592592592592601</v>
      </c>
      <c r="H60" s="8">
        <f t="shared" ca="1" si="23"/>
        <v>576000.00000000373</v>
      </c>
      <c r="I60" s="8">
        <f t="shared" ca="1" si="24"/>
        <v>20316</v>
      </c>
      <c r="J60" s="3" t="s">
        <v>5</v>
      </c>
      <c r="K60" s="3" t="s">
        <v>9</v>
      </c>
      <c r="L60" s="3" t="s">
        <v>10</v>
      </c>
      <c r="M60" s="3">
        <v>0</v>
      </c>
    </row>
    <row r="61" spans="1:13" x14ac:dyDescent="0.35">
      <c r="A61" s="3" t="s">
        <v>104</v>
      </c>
      <c r="B61" s="3" t="s">
        <v>86</v>
      </c>
      <c r="C61" t="s">
        <v>127</v>
      </c>
      <c r="D61" s="3" t="s">
        <v>25</v>
      </c>
      <c r="E61" s="7">
        <f t="shared" ca="1" si="25"/>
        <v>0.89592592592592601</v>
      </c>
      <c r="F61" s="7">
        <f t="shared" ref="F61:F64" ca="1" si="26">G60</f>
        <v>0.89592592592592601</v>
      </c>
      <c r="G61" s="7">
        <f ca="1" xml:space="preserve"> F61 + RANDBETWEEN(200, 400) / 86400</f>
        <v>0.90016203703703712</v>
      </c>
      <c r="H61" s="8">
        <f t="shared" ca="1" si="23"/>
        <v>365999.99999999965</v>
      </c>
      <c r="I61" s="8">
        <f t="shared" ca="1" si="24"/>
        <v>26256</v>
      </c>
      <c r="J61" s="3" t="s">
        <v>5</v>
      </c>
      <c r="K61" s="3" t="s">
        <v>9</v>
      </c>
      <c r="L61" s="3" t="s">
        <v>10</v>
      </c>
      <c r="M61" s="3">
        <v>0</v>
      </c>
    </row>
    <row r="62" spans="1:13" x14ac:dyDescent="0.35">
      <c r="A62" s="3" t="s">
        <v>105</v>
      </c>
      <c r="B62" s="3" t="s">
        <v>87</v>
      </c>
      <c r="C62" t="s">
        <v>127</v>
      </c>
      <c r="D62" s="3" t="s">
        <v>25</v>
      </c>
      <c r="E62" s="7">
        <f t="shared" ca="1" si="25"/>
        <v>0.90016203703703712</v>
      </c>
      <c r="F62" s="7">
        <f t="shared" ca="1" si="26"/>
        <v>0.90016203703703712</v>
      </c>
      <c r="G62" s="7">
        <f ca="1" xml:space="preserve"> F62 + RANDBETWEEN(200, 400) / 86400</f>
        <v>0.9025578703703705</v>
      </c>
      <c r="H62" s="8">
        <f t="shared" ca="1" si="23"/>
        <v>207000.00000000358</v>
      </c>
      <c r="I62" s="8">
        <f t="shared" ca="1" si="24"/>
        <v>22500</v>
      </c>
      <c r="J62" s="3" t="s">
        <v>5</v>
      </c>
      <c r="K62" s="3" t="s">
        <v>9</v>
      </c>
      <c r="L62" s="3" t="s">
        <v>10</v>
      </c>
      <c r="M62" s="3">
        <v>0</v>
      </c>
    </row>
    <row r="63" spans="1:13" x14ac:dyDescent="0.35">
      <c r="A63" s="3" t="s">
        <v>106</v>
      </c>
      <c r="B63" s="3" t="s">
        <v>88</v>
      </c>
      <c r="C63" t="s">
        <v>127</v>
      </c>
      <c r="D63" s="3" t="s">
        <v>25</v>
      </c>
      <c r="E63" s="7">
        <f t="shared" ca="1" si="25"/>
        <v>0.9025578703703705</v>
      </c>
      <c r="F63" s="7">
        <f t="shared" ca="1" si="26"/>
        <v>0.9025578703703705</v>
      </c>
      <c r="G63" s="7">
        <f ca="1" xml:space="preserve"> F63 + RANDBETWEEN(250, 450) / 86400</f>
        <v>0.90567129629629639</v>
      </c>
      <c r="H63" s="8">
        <f t="shared" ca="1" si="23"/>
        <v>268999.99999999726</v>
      </c>
      <c r="I63" s="8">
        <f t="shared" ca="1" si="24"/>
        <v>24331</v>
      </c>
      <c r="J63" s="3" t="s">
        <v>5</v>
      </c>
      <c r="K63" s="3" t="s">
        <v>9</v>
      </c>
      <c r="L63" s="3" t="s">
        <v>10</v>
      </c>
      <c r="M63" s="3">
        <v>0</v>
      </c>
    </row>
    <row r="64" spans="1:13" x14ac:dyDescent="0.35">
      <c r="A64" s="3" t="s">
        <v>107</v>
      </c>
      <c r="B64" s="3" t="s">
        <v>89</v>
      </c>
      <c r="C64" t="s">
        <v>127</v>
      </c>
      <c r="D64" s="3" t="s">
        <v>25</v>
      </c>
      <c r="E64" s="7">
        <f t="shared" ca="1" si="25"/>
        <v>0.90567129629629639</v>
      </c>
      <c r="F64" s="7">
        <f t="shared" ca="1" si="26"/>
        <v>0.90567129629629639</v>
      </c>
      <c r="G64" s="7">
        <f t="shared" ca="1" si="19"/>
        <v>0.90745370370370382</v>
      </c>
      <c r="H64" s="8">
        <f t="shared" ca="1" si="23"/>
        <v>154000.00000000169</v>
      </c>
      <c r="I64" s="8">
        <f t="shared" ca="1" si="24"/>
        <v>21347</v>
      </c>
      <c r="J64" s="3" t="s">
        <v>5</v>
      </c>
      <c r="K64" s="3" t="s">
        <v>9</v>
      </c>
      <c r="L64" s="3" t="s">
        <v>10</v>
      </c>
      <c r="M64" s="3">
        <v>0</v>
      </c>
    </row>
    <row r="65" spans="1:13" x14ac:dyDescent="0.35">
      <c r="A65" s="3" t="s">
        <v>108</v>
      </c>
      <c r="B65" s="3" t="s">
        <v>81</v>
      </c>
      <c r="C65" t="s">
        <v>130</v>
      </c>
      <c r="D65" s="6" t="s">
        <v>26</v>
      </c>
      <c r="E65" s="7">
        <f>JobGroupExecutions!D10</f>
        <v>0.875</v>
      </c>
      <c r="F65" s="7">
        <f>IF(JobGroupExecutions!D10 &gt; ResourceAvailabilityEvents!D7, JobGroupExecutions!D10, ResourceAvailabilityEvents!D7)</f>
        <v>0.875</v>
      </c>
      <c r="G65" s="7">
        <f ca="1" xml:space="preserve"> F65 + RANDBETWEEN(250, 450) / 86400</f>
        <v>0.87893518518518521</v>
      </c>
      <c r="H65" s="8">
        <f t="shared" ca="1" si="23"/>
        <v>340000.00000000198</v>
      </c>
      <c r="I65" s="8">
        <f ca="1">RANDBETWEEN(25000, 35000)</f>
        <v>27233</v>
      </c>
      <c r="J65" s="3" t="s">
        <v>5</v>
      </c>
      <c r="K65" s="3" t="s">
        <v>9</v>
      </c>
      <c r="L65" s="3" t="s">
        <v>10</v>
      </c>
      <c r="M65" s="3">
        <v>0</v>
      </c>
    </row>
    <row r="66" spans="1:13" x14ac:dyDescent="0.35">
      <c r="A66" s="3" t="s">
        <v>109</v>
      </c>
      <c r="B66" s="3" t="s">
        <v>82</v>
      </c>
      <c r="C66" t="s">
        <v>130</v>
      </c>
      <c r="D66" s="6" t="s">
        <v>26</v>
      </c>
      <c r="E66" s="7">
        <f ca="1">F66</f>
        <v>0.87893518518518521</v>
      </c>
      <c r="F66" s="7">
        <f ca="1">G65</f>
        <v>0.87893518518518521</v>
      </c>
      <c r="G66" s="7">
        <f t="shared" ca="1" si="19"/>
        <v>0.8807060185185186</v>
      </c>
      <c r="H66" s="8">
        <f t="shared" ca="1" si="23"/>
        <v>153000.00000000474</v>
      </c>
      <c r="I66" s="8">
        <f t="shared" ref="I66:I73" ca="1" si="27">RANDBETWEEN(25000, 35000)</f>
        <v>27107</v>
      </c>
      <c r="J66" s="3" t="s">
        <v>5</v>
      </c>
      <c r="K66" s="3" t="s">
        <v>9</v>
      </c>
      <c r="L66" s="3" t="s">
        <v>10</v>
      </c>
      <c r="M66" s="3">
        <v>0</v>
      </c>
    </row>
    <row r="67" spans="1:13" x14ac:dyDescent="0.35">
      <c r="A67" s="3" t="s">
        <v>110</v>
      </c>
      <c r="B67" s="3" t="s">
        <v>83</v>
      </c>
      <c r="C67" t="s">
        <v>130</v>
      </c>
      <c r="D67" s="6" t="s">
        <v>26</v>
      </c>
      <c r="E67" s="7">
        <f t="shared" ref="E67:E73" ca="1" si="28">F67</f>
        <v>0.87893518518518521</v>
      </c>
      <c r="F67" s="7">
        <f ca="1">G65</f>
        <v>0.87893518518518521</v>
      </c>
      <c r="G67" s="7">
        <f ca="1" xml:space="preserve"> F67 + RANDBETWEEN(300, 500) / 86400</f>
        <v>0.88392361111111117</v>
      </c>
      <c r="H67" s="8">
        <f t="shared" ca="1" si="23"/>
        <v>431000.00000000343</v>
      </c>
      <c r="I67" s="8">
        <f t="shared" ca="1" si="27"/>
        <v>30592</v>
      </c>
      <c r="J67" s="3" t="s">
        <v>5</v>
      </c>
      <c r="K67" s="3" t="s">
        <v>9</v>
      </c>
      <c r="L67" s="3" t="s">
        <v>10</v>
      </c>
      <c r="M67" s="3">
        <v>0</v>
      </c>
    </row>
    <row r="68" spans="1:13" x14ac:dyDescent="0.35">
      <c r="A68" s="3" t="s">
        <v>111</v>
      </c>
      <c r="B68" s="3" t="s">
        <v>84</v>
      </c>
      <c r="C68" t="s">
        <v>130</v>
      </c>
      <c r="D68" s="6" t="s">
        <v>26</v>
      </c>
      <c r="E68" s="7">
        <f ca="1">IF(G66 &gt; G67, G66, G67)</f>
        <v>0.88392361111111117</v>
      </c>
      <c r="F68" s="7">
        <f ca="1">IF((IF(G66 &gt; G67, G66, G67)) &gt; ResourceAvailabilityEvents!D19, (IF(G66 &gt; G67, G66, G67)), ResourceAvailabilityEvents!D19)</f>
        <v>0.92013888888888884</v>
      </c>
      <c r="G68" s="7">
        <f ca="1" xml:space="preserve"> F68 + RANDBETWEEN(450, 750) / 86400</f>
        <v>0.92775462962962962</v>
      </c>
      <c r="H68" s="8">
        <f t="shared" ca="1" si="23"/>
        <v>658000.00000000373</v>
      </c>
      <c r="I68" s="8">
        <f t="shared" ca="1" si="27"/>
        <v>26080</v>
      </c>
      <c r="J68" s="3" t="s">
        <v>5</v>
      </c>
      <c r="K68" s="3" t="s">
        <v>9</v>
      </c>
      <c r="L68" s="3" t="s">
        <v>10</v>
      </c>
      <c r="M68" s="3">
        <v>0</v>
      </c>
    </row>
    <row r="69" spans="1:13" x14ac:dyDescent="0.35">
      <c r="A69" s="3" t="s">
        <v>112</v>
      </c>
      <c r="B69" s="3" t="s">
        <v>85</v>
      </c>
      <c r="C69" t="s">
        <v>130</v>
      </c>
      <c r="D69" s="6" t="s">
        <v>26</v>
      </c>
      <c r="E69" s="7">
        <f t="shared" ca="1" si="28"/>
        <v>0.92775462962962962</v>
      </c>
      <c r="F69" s="7">
        <f ca="1">G68</f>
        <v>0.92775462962962962</v>
      </c>
      <c r="G69" s="7">
        <f ca="1" xml:space="preserve"> F69 + RANDBETWEEN(450, 750) / 86400</f>
        <v>0.93525462962962957</v>
      </c>
      <c r="H69" s="8">
        <f t="shared" ca="1" si="23"/>
        <v>647999.99999999581</v>
      </c>
      <c r="I69" s="8">
        <f t="shared" ca="1" si="27"/>
        <v>32408</v>
      </c>
      <c r="J69" s="3" t="s">
        <v>5</v>
      </c>
      <c r="K69" s="3" t="s">
        <v>9</v>
      </c>
      <c r="L69" s="3" t="s">
        <v>10</v>
      </c>
      <c r="M69" s="3">
        <v>0</v>
      </c>
    </row>
    <row r="70" spans="1:13" x14ac:dyDescent="0.35">
      <c r="A70" s="3" t="s">
        <v>113</v>
      </c>
      <c r="B70" s="3" t="s">
        <v>86</v>
      </c>
      <c r="C70" t="s">
        <v>130</v>
      </c>
      <c r="D70" s="6" t="s">
        <v>26</v>
      </c>
      <c r="E70" s="7">
        <f t="shared" ca="1" si="28"/>
        <v>0.93525462962962957</v>
      </c>
      <c r="F70" s="7">
        <f t="shared" ref="F70:F73" ca="1" si="29">G69</f>
        <v>0.93525462962962957</v>
      </c>
      <c r="G70" s="7">
        <f ca="1" xml:space="preserve"> F70 + RANDBETWEEN(200, 400) / 86400</f>
        <v>0.93891203703703696</v>
      </c>
      <c r="H70" s="8">
        <f t="shared" ca="1" si="23"/>
        <v>315999.99999999825</v>
      </c>
      <c r="I70" s="8">
        <f t="shared" ca="1" si="27"/>
        <v>25959</v>
      </c>
      <c r="J70" s="3" t="s">
        <v>5</v>
      </c>
      <c r="K70" s="3" t="s">
        <v>9</v>
      </c>
      <c r="L70" s="3" t="s">
        <v>10</v>
      </c>
      <c r="M70" s="3">
        <v>0</v>
      </c>
    </row>
    <row r="71" spans="1:13" x14ac:dyDescent="0.35">
      <c r="A71" s="3" t="s">
        <v>114</v>
      </c>
      <c r="B71" s="3" t="s">
        <v>87</v>
      </c>
      <c r="C71" t="s">
        <v>130</v>
      </c>
      <c r="D71" s="6" t="s">
        <v>26</v>
      </c>
      <c r="E71" s="7">
        <f t="shared" ca="1" si="28"/>
        <v>0.93891203703703696</v>
      </c>
      <c r="F71" s="7">
        <f t="shared" ca="1" si="29"/>
        <v>0.93891203703703696</v>
      </c>
      <c r="G71" s="7">
        <f ca="1" xml:space="preserve"> F71 + RANDBETWEEN(200, 400) / 86400</f>
        <v>0.94206018518518508</v>
      </c>
      <c r="H71" s="8">
        <f t="shared" ca="1" si="23"/>
        <v>271999.99999999773</v>
      </c>
      <c r="I71" s="8">
        <f t="shared" ca="1" si="27"/>
        <v>32781</v>
      </c>
      <c r="J71" s="3" t="s">
        <v>5</v>
      </c>
      <c r="K71" s="3" t="s">
        <v>9</v>
      </c>
      <c r="L71" s="3" t="s">
        <v>10</v>
      </c>
      <c r="M71" s="3">
        <v>0</v>
      </c>
    </row>
    <row r="72" spans="1:13" x14ac:dyDescent="0.35">
      <c r="A72" s="3" t="s">
        <v>115</v>
      </c>
      <c r="B72" s="3" t="s">
        <v>88</v>
      </c>
      <c r="C72" t="s">
        <v>130</v>
      </c>
      <c r="D72" s="6" t="s">
        <v>26</v>
      </c>
      <c r="E72" s="7">
        <f t="shared" ca="1" si="28"/>
        <v>0.94206018518518508</v>
      </c>
      <c r="F72" s="7">
        <f t="shared" ca="1" si="29"/>
        <v>0.94206018518518508</v>
      </c>
      <c r="G72" s="7">
        <f ca="1" xml:space="preserve"> F72 + RANDBETWEEN(250, 450) / 86400</f>
        <v>0.94509259259259248</v>
      </c>
      <c r="H72" s="8">
        <f t="shared" ca="1" si="23"/>
        <v>261999.99999999939</v>
      </c>
      <c r="I72" s="8">
        <f t="shared" ca="1" si="27"/>
        <v>32636</v>
      </c>
      <c r="J72" s="3" t="s">
        <v>5</v>
      </c>
      <c r="K72" s="3" t="s">
        <v>9</v>
      </c>
      <c r="L72" s="3" t="s">
        <v>10</v>
      </c>
      <c r="M72" s="3">
        <v>0</v>
      </c>
    </row>
    <row r="73" spans="1:13" x14ac:dyDescent="0.35">
      <c r="A73" s="3" t="s">
        <v>116</v>
      </c>
      <c r="B73" s="3" t="s">
        <v>89</v>
      </c>
      <c r="C73" t="s">
        <v>130</v>
      </c>
      <c r="D73" s="6" t="s">
        <v>26</v>
      </c>
      <c r="E73" s="7">
        <f t="shared" ca="1" si="28"/>
        <v>0.94509259259259248</v>
      </c>
      <c r="F73" s="7">
        <f t="shared" ca="1" si="29"/>
        <v>0.94509259259259248</v>
      </c>
      <c r="G73" s="7">
        <f t="shared" ca="1" si="19"/>
        <v>0.94770833333333326</v>
      </c>
      <c r="H73" s="8">
        <f t="shared" ca="1" si="23"/>
        <v>226000.00000000335</v>
      </c>
      <c r="I73" s="8">
        <f t="shared" ca="1" si="27"/>
        <v>33297</v>
      </c>
      <c r="J73" s="3" t="s">
        <v>5</v>
      </c>
      <c r="K73" s="3" t="s">
        <v>9</v>
      </c>
      <c r="L73" s="3" t="s">
        <v>10</v>
      </c>
      <c r="M73" s="3">
        <v>0</v>
      </c>
    </row>
  </sheetData>
  <phoneticPr fontId="2" type="noConversion"/>
  <pageMargins left="0.75" right="0.75" top="1" bottom="1" header="0.5" footer="0.5"/>
  <ignoredErrors>
    <ignoredError sqref="K2:K5" numberStoredAsText="1"/>
    <ignoredError sqref="G49 G46:G47 G55 G64:G6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workbookViewId="0">
      <selection activeCell="D2" sqref="D2"/>
    </sheetView>
  </sheetViews>
  <sheetFormatPr defaultRowHeight="14.5" x14ac:dyDescent="0.35"/>
  <cols>
    <col min="1" max="1" width="18.7265625" bestFit="1" customWidth="1"/>
    <col min="2" max="2" width="24" bestFit="1" customWidth="1"/>
    <col min="3" max="3" width="24" customWidth="1"/>
    <col min="4" max="4" width="19.81640625" bestFit="1" customWidth="1"/>
    <col min="5" max="5" width="9" bestFit="1" customWidth="1"/>
    <col min="6" max="6" width="30.81640625" bestFit="1" customWidth="1"/>
    <col min="7" max="7" width="14.26953125" bestFit="1" customWidth="1"/>
  </cols>
  <sheetData>
    <row r="1" spans="1:7" x14ac:dyDescent="0.35">
      <c r="A1" s="1" t="s">
        <v>117</v>
      </c>
      <c r="B1" s="1" t="s">
        <v>11</v>
      </c>
      <c r="C1" s="2" t="s">
        <v>0</v>
      </c>
      <c r="D1" s="1" t="s">
        <v>133</v>
      </c>
      <c r="E1" s="1" t="s">
        <v>134</v>
      </c>
      <c r="F1" s="1" t="s">
        <v>12</v>
      </c>
      <c r="G1" s="1" t="s">
        <v>13</v>
      </c>
    </row>
    <row r="2" spans="1:7" x14ac:dyDescent="0.35">
      <c r="A2" t="s">
        <v>135</v>
      </c>
      <c r="B2" t="s">
        <v>156</v>
      </c>
      <c r="C2" s="6" t="s">
        <v>24</v>
      </c>
      <c r="D2" s="9">
        <f>(JobGroupExecutions!D2) + TIME(0,20,0)</f>
        <v>0.2638888888888889</v>
      </c>
      <c r="E2">
        <f ca="1">(JobContextExecutions!I2) / 1000</f>
        <v>89.906000000000006</v>
      </c>
      <c r="F2" t="str" cm="1">
        <f t="array" aca="1" ref="F2" ca="1">_xlfn.TEXTJOIN("",,CHAR(RANDBETWEEN(65,90+IF(_xlfn.RANDARRAY(24)&lt;0.5,32,0))))</f>
        <v>]SDOuPQuQNCENIKrH_DARUJY</v>
      </c>
      <c r="G2" t="s">
        <v>14</v>
      </c>
    </row>
    <row r="3" spans="1:7" x14ac:dyDescent="0.35">
      <c r="A3" t="s">
        <v>138</v>
      </c>
      <c r="B3" t="s">
        <v>156</v>
      </c>
      <c r="C3" s="3" t="s">
        <v>25</v>
      </c>
      <c r="D3" s="9">
        <f>(JobGroupExecutions!D3)</f>
        <v>0.25</v>
      </c>
      <c r="E3">
        <f ca="1">(JobContextExecutions!I8) / 1000</f>
        <v>28.068999999999999</v>
      </c>
      <c r="F3" t="str" cm="1">
        <f t="array" aca="1" ref="F3" ca="1">_xlfn.TEXTJOIN("",,CHAR(RANDBETWEEN(65,90+IF(_xlfn.RANDARRAY(24)&lt;0.5,32,0))))</f>
        <v>JG]KVUuOUQJxPtF]XDQSCkDm</v>
      </c>
      <c r="G3" t="s">
        <v>14</v>
      </c>
    </row>
    <row r="4" spans="1:7" x14ac:dyDescent="0.35">
      <c r="A4" t="s">
        <v>139</v>
      </c>
      <c r="B4" t="s">
        <v>156</v>
      </c>
      <c r="C4" s="6" t="s">
        <v>26</v>
      </c>
      <c r="D4" s="9">
        <f>(JobGroupExecutions!D4)</f>
        <v>0.25</v>
      </c>
      <c r="E4">
        <f ca="1">(JobContextExecutions!I14) / 1000</f>
        <v>31.463999999999999</v>
      </c>
      <c r="F4" t="str" cm="1">
        <f t="array" aca="1" ref="F4" ca="1">_xlfn.TEXTJOIN("",,CHAR(RANDBETWEEN(65,90+IF(_xlfn.RANDARRAY(24)&lt;0.5,32,0))))</f>
        <v>CjWWZSMVUbD^PxMGRAUONUBU</v>
      </c>
      <c r="G4" t="s">
        <v>14</v>
      </c>
    </row>
    <row r="5" spans="1:7" x14ac:dyDescent="0.35">
      <c r="A5" t="s">
        <v>15</v>
      </c>
      <c r="B5" t="s">
        <v>132</v>
      </c>
      <c r="C5" s="6" t="s">
        <v>24</v>
      </c>
      <c r="D5" s="9">
        <f>(JobGroupExecutions!D8)</f>
        <v>0.875</v>
      </c>
      <c r="E5">
        <f ca="1">(JobContextExecutions!I47) / 1000</f>
        <v>117.277</v>
      </c>
      <c r="F5" t="str" cm="1">
        <f t="array" aca="1" ref="F5" ca="1">_xlfn.TEXTJOIN("",,CHAR(RANDBETWEEN(65,90+IF(_xlfn.RANDARRAY(24)&lt;0.5,32,0))))</f>
        <v>AOYraGbUURETlHkGHZcvR]NN</v>
      </c>
      <c r="G5" t="s">
        <v>14</v>
      </c>
    </row>
    <row r="6" spans="1:7" x14ac:dyDescent="0.35">
      <c r="A6" t="s">
        <v>136</v>
      </c>
      <c r="B6" t="s">
        <v>132</v>
      </c>
      <c r="C6" s="3" t="s">
        <v>25</v>
      </c>
      <c r="D6" s="9">
        <f>(JobGroupExecutions!D9)</f>
        <v>0.875</v>
      </c>
      <c r="E6">
        <f ca="1">(JobContextExecutions!I56) / 1000</f>
        <v>21.896000000000001</v>
      </c>
      <c r="F6" t="str" cm="1">
        <f t="array" aca="1" ref="F6" ca="1">_xlfn.TEXTJOIN("",,CHAR(RANDBETWEEN(65,90+IF(_xlfn.RANDARRAY(24)&lt;0.5,32,0))))</f>
        <v>NWNfSRRSUMoVEtCgEUoP^LOG</v>
      </c>
      <c r="G6" t="s">
        <v>14</v>
      </c>
    </row>
    <row r="7" spans="1:7" x14ac:dyDescent="0.35">
      <c r="A7" t="s">
        <v>137</v>
      </c>
      <c r="B7" t="s">
        <v>132</v>
      </c>
      <c r="C7" s="6" t="s">
        <v>26</v>
      </c>
      <c r="D7" s="9">
        <f>(JobGroupExecutions!D10)</f>
        <v>0.875</v>
      </c>
      <c r="E7">
        <f ca="1">(JobContextExecutions!I65) / 1000</f>
        <v>27.233000000000001</v>
      </c>
      <c r="F7" t="str" cm="1">
        <f t="array" aca="1" ref="F7" ca="1">_xlfn.TEXTJOIN("",,CHAR(RANDBETWEEN(65,90+IF(_xlfn.RANDARRAY(24)&lt;0.5,32,0))))</f>
        <v>PICmL^GOgHPKFJdMqnjrhUXV</v>
      </c>
      <c r="G7" t="s">
        <v>14</v>
      </c>
    </row>
    <row r="8" spans="1:7" x14ac:dyDescent="0.35">
      <c r="A8" t="s">
        <v>141</v>
      </c>
      <c r="B8" t="s">
        <v>140</v>
      </c>
      <c r="C8" s="6" t="s">
        <v>24</v>
      </c>
      <c r="D8" s="9">
        <f>(JobGroupExecutions!D8)</f>
        <v>0.875</v>
      </c>
      <c r="E8">
        <f ca="1">(JobContextExecutions!I47) / 1000</f>
        <v>117.277</v>
      </c>
      <c r="F8" t="str" cm="1">
        <f t="array" aca="1" ref="F8" ca="1">_xlfn.TEXTJOIN("",,CHAR(RANDBETWEEN(65,90+IF(_xlfn.RANDARRAY(24)&lt;0.5,32,0))))</f>
        <v>WGWaBMQzJ\T^lMZKnZTBQWIU</v>
      </c>
      <c r="G8" t="s">
        <v>14</v>
      </c>
    </row>
    <row r="9" spans="1:7" x14ac:dyDescent="0.35">
      <c r="A9" t="s">
        <v>142</v>
      </c>
      <c r="B9" t="s">
        <v>140</v>
      </c>
      <c r="C9" s="3" t="s">
        <v>25</v>
      </c>
      <c r="D9" s="9">
        <f>(JobGroupExecutions!D9)</f>
        <v>0.875</v>
      </c>
      <c r="E9">
        <f ca="1">(JobContextExecutions!I56) / 1000</f>
        <v>21.896000000000001</v>
      </c>
      <c r="F9" t="str" cm="1">
        <f t="array" aca="1" ref="F9" ca="1">_xlfn.TEXTJOIN("",,CHAR(RANDBETWEEN(65,90+IF(_xlfn.RANDARRAY(24)&lt;0.5,32,0))))</f>
        <v>IQESOD]FBvzNOEsUGYZSNZhU</v>
      </c>
      <c r="G9" t="s">
        <v>14</v>
      </c>
    </row>
    <row r="10" spans="1:7" x14ac:dyDescent="0.35">
      <c r="A10" t="s">
        <v>143</v>
      </c>
      <c r="B10" t="s">
        <v>140</v>
      </c>
      <c r="C10" s="6" t="s">
        <v>26</v>
      </c>
      <c r="D10" s="9">
        <f>(JobGroupExecutions!D10)</f>
        <v>0.875</v>
      </c>
      <c r="E10">
        <f ca="1">(JobContextExecutions!I65) / 1000</f>
        <v>27.233000000000001</v>
      </c>
      <c r="F10" t="str" cm="1">
        <f t="array" aca="1" ref="F10" ca="1">_xlfn.TEXTJOIN("",,CHAR(RANDBETWEEN(65,90+IF(_xlfn.RANDARRAY(24)&lt;0.5,32,0))))</f>
        <v>VFUZVRQ^Hy]PxxEPDGtKSVKo</v>
      </c>
      <c r="G10" t="s">
        <v>14</v>
      </c>
    </row>
    <row r="11" spans="1:7" x14ac:dyDescent="0.35">
      <c r="A11" t="s">
        <v>145</v>
      </c>
      <c r="B11" t="s">
        <v>144</v>
      </c>
      <c r="C11" s="6" t="s">
        <v>24</v>
      </c>
      <c r="D11" s="9">
        <f>(JobGroupExecutions!D5)</f>
        <v>0.58333333333333337</v>
      </c>
      <c r="E11">
        <f ca="1">(JobContextExecutions!I20) / 1000</f>
        <v>117.884</v>
      </c>
      <c r="F11" t="str" cm="1">
        <f t="array" aca="1" ref="F11" ca="1">_xlfn.TEXTJOIN("",,CHAR(RANDBETWEEN(65,90+IF(_xlfn.RANDARRAY(24)&lt;0.5,32,0))))</f>
        <v>VXzKLWXHAUU_iEMZRBHlVChI</v>
      </c>
      <c r="G11" t="s">
        <v>14</v>
      </c>
    </row>
    <row r="12" spans="1:7" x14ac:dyDescent="0.35">
      <c r="A12" t="s">
        <v>146</v>
      </c>
      <c r="B12" t="s">
        <v>144</v>
      </c>
      <c r="C12" s="3" t="s">
        <v>25</v>
      </c>
      <c r="D12" s="9">
        <f>(JobGroupExecutions!D6)</f>
        <v>0.58333333333333337</v>
      </c>
      <c r="E12">
        <f ca="1">(JobContextExecutions!I29) / 1000</f>
        <v>23.885999999999999</v>
      </c>
      <c r="F12" t="str" cm="1">
        <f t="array" aca="1" ref="F12" ca="1">_xlfn.TEXTJOIN("",,CHAR(RANDBETWEEN(65,90+IF(_xlfn.RANDARRAY(24)&lt;0.5,32,0))))</f>
        <v>BXSVUYjLZVWEVKJHCvULQqbO</v>
      </c>
      <c r="G12" t="s">
        <v>14</v>
      </c>
    </row>
    <row r="13" spans="1:7" x14ac:dyDescent="0.35">
      <c r="A13" t="s">
        <v>147</v>
      </c>
      <c r="B13" t="s">
        <v>144</v>
      </c>
      <c r="C13" s="6" t="s">
        <v>26</v>
      </c>
      <c r="D13" s="9">
        <f>(JobGroupExecutions!D7)</f>
        <v>0.58333333333333337</v>
      </c>
      <c r="E13">
        <f ca="1">(JobContextExecutions!I38) / 1000</f>
        <v>36.517000000000003</v>
      </c>
      <c r="F13" t="str" cm="1">
        <f t="array" aca="1" ref="F13" ca="1">_xlfn.TEXTJOIN("",,CHAR(RANDBETWEEN(65,90+IF(_xlfn.RANDARRAY(24)&lt;0.5,32,0))))</f>
        <v>aGXInVLNRQJJC`jpCwCFFYSZ</v>
      </c>
      <c r="G13" t="s">
        <v>14</v>
      </c>
    </row>
    <row r="14" spans="1:7" x14ac:dyDescent="0.35">
      <c r="A14" t="s">
        <v>149</v>
      </c>
      <c r="B14" t="s">
        <v>148</v>
      </c>
      <c r="C14" s="6" t="s">
        <v>24</v>
      </c>
      <c r="D14" s="9">
        <f>(JobGroupExecutions!D8)</f>
        <v>0.875</v>
      </c>
      <c r="E14">
        <f ca="1">(JobContextExecutions!I47) / 1000</f>
        <v>117.277</v>
      </c>
      <c r="F14" t="str" cm="1">
        <f t="array" aca="1" ref="F14" ca="1">_xlfn.TEXTJOIN("",,CHAR(RANDBETWEEN(65,90+IF(_xlfn.RANDARRAY(24)&lt;0.5,32,0))))</f>
        <v>JJAIohemU^pBXTFfJPEXBX]i</v>
      </c>
      <c r="G14" t="s">
        <v>14</v>
      </c>
    </row>
    <row r="15" spans="1:7" x14ac:dyDescent="0.35">
      <c r="A15" t="s">
        <v>150</v>
      </c>
      <c r="B15" t="s">
        <v>148</v>
      </c>
      <c r="C15" s="3" t="s">
        <v>25</v>
      </c>
      <c r="D15" s="9">
        <f>(JobGroupExecutions!D9)</f>
        <v>0.875</v>
      </c>
      <c r="E15">
        <f ca="1">(JobContextExecutions!I56) / 1000</f>
        <v>21.896000000000001</v>
      </c>
      <c r="F15" t="str" cm="1">
        <f t="array" aca="1" ref="F15" ca="1">_xlfn.TEXTJOIN("",,CHAR(RANDBETWEEN(65,90+IF(_xlfn.RANDARRAY(24)&lt;0.5,32,0))))</f>
        <v>QKpRLgOpFvBSW]BVBsSoYK]m</v>
      </c>
      <c r="G15" t="s">
        <v>14</v>
      </c>
    </row>
    <row r="16" spans="1:7" x14ac:dyDescent="0.35">
      <c r="A16" t="s">
        <v>151</v>
      </c>
      <c r="B16" t="s">
        <v>148</v>
      </c>
      <c r="C16" s="6" t="s">
        <v>26</v>
      </c>
      <c r="D16" s="9">
        <f>(JobGroupExecutions!D10)</f>
        <v>0.875</v>
      </c>
      <c r="E16">
        <f ca="1">(JobContextExecutions!I65) / 1000</f>
        <v>27.233000000000001</v>
      </c>
      <c r="F16" t="str" cm="1">
        <f t="array" aca="1" ref="F16" ca="1">_xlfn.TEXTJOIN("",,CHAR(RANDBETWEEN(65,90+IF(_xlfn.RANDARRAY(24)&lt;0.5,32,0))))</f>
        <v>TJFGHmBZECCZCQRHBGSWDOCC</v>
      </c>
      <c r="G16" t="s">
        <v>14</v>
      </c>
    </row>
    <row r="17" spans="1:7" x14ac:dyDescent="0.35">
      <c r="A17" t="s">
        <v>152</v>
      </c>
      <c r="B17" t="s">
        <v>155</v>
      </c>
      <c r="C17" s="6" t="s">
        <v>24</v>
      </c>
      <c r="D17" s="9">
        <f>(JobGroupExecutions!D8) + TIME(0,35,0)</f>
        <v>0.89930555555555558</v>
      </c>
      <c r="E17">
        <f ca="1">(JobContextExecutions!I50) / 1000</f>
        <v>115.953</v>
      </c>
      <c r="F17" t="str" cm="1">
        <f t="array" aca="1" ref="F17" ca="1">_xlfn.TEXTJOIN("",,CHAR(RANDBETWEEN(65,90+IF(_xlfn.RANDARRAY(24)&lt;0.5,32,0))))</f>
        <v>viVkQo\VphQHCeAHupVJFCUC</v>
      </c>
      <c r="G17" t="s">
        <v>14</v>
      </c>
    </row>
    <row r="18" spans="1:7" x14ac:dyDescent="0.35">
      <c r="A18" t="s">
        <v>153</v>
      </c>
      <c r="B18" t="s">
        <v>155</v>
      </c>
      <c r="C18" s="3" t="s">
        <v>25</v>
      </c>
      <c r="D18" s="9">
        <f>(JobGroupExecutions!D9)</f>
        <v>0.875</v>
      </c>
      <c r="E18">
        <f ca="1">(JobContextExecutions!I59) / 1000</f>
        <v>22.231000000000002</v>
      </c>
      <c r="F18" t="str" cm="1">
        <f t="array" aca="1" ref="F18" ca="1">_xlfn.TEXTJOIN("",,CHAR(RANDBETWEEN(65,90+IF(_xlfn.RANDARRAY(24)&lt;0.5,32,0))))</f>
        <v>JZIXVQSFEWCF]NUjYKMVPVEF</v>
      </c>
      <c r="G18" t="s">
        <v>14</v>
      </c>
    </row>
    <row r="19" spans="1:7" x14ac:dyDescent="0.35">
      <c r="A19" t="s">
        <v>154</v>
      </c>
      <c r="B19" t="s">
        <v>155</v>
      </c>
      <c r="C19" s="6" t="s">
        <v>26</v>
      </c>
      <c r="D19" s="9">
        <f>(JobGroupExecutions!D10) + TIME(1,5,0)</f>
        <v>0.92013888888888884</v>
      </c>
      <c r="E19">
        <f ca="1">(JobContextExecutions!I68) / 1000</f>
        <v>26.08</v>
      </c>
      <c r="F19" t="str" cm="1">
        <f t="array" aca="1" ref="F19" ca="1">_xlfn.TEXTJOIN("",,CHAR(RANDBETWEEN(65,90+IF(_xlfn.RANDARRAY(24)&lt;0.5,32,0))))</f>
        <v>JMJFCHPFuFFJMBTIiIb`BKiv</v>
      </c>
      <c r="G19" t="s">
        <v>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JobGroupExecutions</vt:lpstr>
      <vt:lpstr>JobContextExecutions</vt:lpstr>
      <vt:lpstr>ResourceAvailabilityEvents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Khanna</cp:lastModifiedBy>
  <dcterms:created xsi:type="dcterms:W3CDTF">2025-11-03T07:20:55Z</dcterms:created>
  <dcterms:modified xsi:type="dcterms:W3CDTF">2026-02-05T05:08:05Z</dcterms:modified>
</cp:coreProperties>
</file>